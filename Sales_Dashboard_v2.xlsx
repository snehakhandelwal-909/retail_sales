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xr:revisionPtr revIDLastSave="0" documentId="13_ncr:1_{00A4E816-721E-4042-896D-819E3507AA29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Dashboard" sheetId="1" r:id="rId1"/>
    <sheet name="Raw Data" sheetId="2" r:id="rId2"/>
    <sheet name="Region Summary" sheetId="3" r:id="rId3"/>
    <sheet name="Analysis" sheetId="4" r:id="rId4"/>
    <sheet name="Monthly Summary" sheetId="5" r:id="rId5"/>
    <sheet name="Product Summary" sheetId="6" r:id="rId6"/>
  </sheets>
  <definedNames>
    <definedName name="_xlnm._FilterDatabase" localSheetId="1" hidden="1">'Raw Data'!$A$1:$J$501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4" l="1"/>
  <c r="D19" i="4"/>
  <c r="C19" i="4"/>
  <c r="B19" i="4"/>
  <c r="F19" i="4" s="1"/>
  <c r="E18" i="4"/>
  <c r="D18" i="4"/>
  <c r="C18" i="4"/>
  <c r="B18" i="4"/>
  <c r="F18" i="4" s="1"/>
  <c r="E17" i="4"/>
  <c r="D17" i="4"/>
  <c r="C17" i="4"/>
  <c r="B17" i="4"/>
  <c r="F17" i="4" s="1"/>
  <c r="E16" i="4"/>
  <c r="D16" i="4"/>
  <c r="C16" i="4"/>
  <c r="B16" i="4"/>
  <c r="F16" i="4" s="1"/>
  <c r="E15" i="4"/>
  <c r="D15" i="4"/>
  <c r="C15" i="4"/>
  <c r="B15" i="4"/>
  <c r="F15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0" i="4" s="1"/>
  <c r="D5" i="4"/>
  <c r="D10" i="4" s="1"/>
  <c r="C5" i="4"/>
  <c r="C10" i="4" s="1"/>
  <c r="B5" i="4"/>
  <c r="B10" i="4" s="1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F5" i="4" s="1"/>
  <c r="F10" i="4" s="1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F8" i="4" s="1"/>
  <c r="J4" i="2"/>
  <c r="I4" i="2"/>
  <c r="F9" i="4" s="1"/>
  <c r="J3" i="2"/>
  <c r="I3" i="2"/>
  <c r="F6" i="4" s="1"/>
  <c r="J2" i="2"/>
  <c r="I2" i="2"/>
  <c r="F7" i="4" s="1"/>
</calcChain>
</file>

<file path=xl/sharedStrings.xml><?xml version="1.0" encoding="utf-8"?>
<sst xmlns="http://schemas.openxmlformats.org/spreadsheetml/2006/main" count="1571" uniqueCount="56">
  <si>
    <t>📊  SALES PERFORMANCE DASHBOARD  •  2023</t>
  </si>
  <si>
    <t>💰 Total Revenue
$12,638,329</t>
  </si>
  <si>
    <t>📈 Total Profit
$2,550,680</t>
  </si>
  <si>
    <t>🏆 Top Product
Laptop</t>
  </si>
  <si>
    <t>📍 Top Region
North</t>
  </si>
  <si>
    <t>Revenue by Region</t>
  </si>
  <si>
    <t>Revenue by Product</t>
  </si>
  <si>
    <t>Monthly Revenue Trend  •  Jan – Dec 2023</t>
  </si>
  <si>
    <t>Date</t>
  </si>
  <si>
    <t>Region</t>
  </si>
  <si>
    <t>Product</t>
  </si>
  <si>
    <t>Salesperson</t>
  </si>
  <si>
    <t>Units_Sold</t>
  </si>
  <si>
    <t>Unit_Price ($)</t>
  </si>
  <si>
    <t>Revenue ($)</t>
  </si>
  <si>
    <t>Profit ($)</t>
  </si>
  <si>
    <t>Profit Margin %</t>
  </si>
  <si>
    <t>Category</t>
  </si>
  <si>
    <t>South</t>
  </si>
  <si>
    <t>Tablet</t>
  </si>
  <si>
    <t>Charlie</t>
  </si>
  <si>
    <t>Bob</t>
  </si>
  <si>
    <t>Laptop</t>
  </si>
  <si>
    <t>Eva</t>
  </si>
  <si>
    <t>West</t>
  </si>
  <si>
    <t>David</t>
  </si>
  <si>
    <t>North</t>
  </si>
  <si>
    <t>Headphones</t>
  </si>
  <si>
    <t>Smartwatch</t>
  </si>
  <si>
    <t>East</t>
  </si>
  <si>
    <t>Smartphone</t>
  </si>
  <si>
    <t>Alice</t>
  </si>
  <si>
    <t>SALES ANALYSIS — KEY METRICS &amp; FORMULAS</t>
  </si>
  <si>
    <t>Salesperson Performance</t>
  </si>
  <si>
    <t>Total Revenue ($)</t>
  </si>
  <si>
    <t># Orders</t>
  </si>
  <si>
    <t>Avg Order ($)</t>
  </si>
  <si>
    <t>Total Profit ($)</t>
  </si>
  <si>
    <t>Avg Margin %</t>
  </si>
  <si>
    <t>TOTAL</t>
  </si>
  <si>
    <t>Revenue Matrix: Product × Region  (SUMIFS)</t>
  </si>
  <si>
    <t>Product \ Region</t>
  </si>
  <si>
    <t>Row Total</t>
  </si>
  <si>
    <t>Month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</si>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</sst>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8"/>
      <color rgb="FFF6C90E"/>
      <name val="Arial"/>
      <charset val="1"/>
    </font>
    <font>
      <b/>
      <sz val="11"/>
      <color rgb="FF4F80E1"/>
      <name val="Arial"/>
      <charset val="1"/>
    </font>
    <font>
      <b/>
      <sz val="11"/>
      <color rgb="FF48BB78"/>
      <name val="Arial"/>
      <charset val="1"/>
    </font>
    <font>
      <b/>
      <sz val="11"/>
      <color rgb="FFF6AD55"/>
      <name val="Arial"/>
      <charset val="1"/>
    </font>
    <font>
      <b/>
      <sz val="11"/>
      <color rgb="FF56CFE1"/>
      <name val="Arial"/>
      <charset val="1"/>
    </font>
    <font>
      <b/>
      <sz val="12"/>
      <color rgb="FF56CFE1"/>
      <name val="Arial"/>
      <charset val="1"/>
    </font>
    <font>
      <b/>
      <sz val="12"/>
      <color rgb="FFF6AD55"/>
      <name val="Arial"/>
      <charset val="1"/>
    </font>
    <font>
      <b/>
      <sz val="12"/>
      <color rgb="FF48BB78"/>
      <name val="Arial"/>
      <charset val="1"/>
    </font>
    <font>
      <i/>
      <sz val="8"/>
      <color rgb="FFA0AEC0"/>
      <name val="Arial"/>
      <charset val="1"/>
    </font>
    <font>
      <b/>
      <sz val="10"/>
      <color rgb="FFFFFFFF"/>
      <name val="Arial"/>
      <charset val="1"/>
    </font>
    <font>
      <sz val="9"/>
      <color rgb="FF1A365D"/>
      <name val="Arial"/>
      <charset val="1"/>
    </font>
    <font>
      <b/>
      <sz val="11"/>
      <color rgb="FFFFFFFF"/>
      <name val="Arial"/>
      <charset val="1"/>
    </font>
    <font>
      <b/>
      <sz val="10"/>
      <color rgb="FF4F80E1"/>
      <name val="Arial"/>
      <charset val="1"/>
    </font>
    <font>
      <sz val="10"/>
      <color rgb="FFFFFFFF"/>
      <name val="Arial"/>
      <charset val="1"/>
    </font>
    <font>
      <b/>
      <sz val="10"/>
      <color rgb="FF56CFE1"/>
      <name val="Arial"/>
      <charset val="1"/>
    </font>
    <font>
      <b/>
      <sz val="10"/>
      <color rgb="FF48BB78"/>
      <name val="Arial"/>
      <charset val="1"/>
    </font>
    <font>
      <b/>
      <sz val="10"/>
      <color rgb="FFF6AD55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365D"/>
      <name val="Arial"/>
      <charset val="1"/>
    </font>
    <font>
      <b/>
      <sz val="10"/>
      <color rgb="FFFC818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F36"/>
        <bgColor rgb="FF242B4B"/>
      </patternFill>
    </fill>
    <fill>
      <patternFill patternType="solid">
        <fgColor rgb="FF242B4B"/>
        <bgColor rgb="FF2A3050"/>
      </patternFill>
    </fill>
    <fill>
      <patternFill patternType="solid">
        <fgColor rgb="FF2E3561"/>
        <bgColor rgb="FF2A3050"/>
      </patternFill>
    </fill>
    <fill>
      <patternFill patternType="solid">
        <fgColor rgb="FF1E3A5F"/>
        <bgColor rgb="FF1A365D"/>
      </patternFill>
    </fill>
    <fill>
      <patternFill patternType="solid">
        <fgColor rgb="FFF7F9FC"/>
        <bgColor rgb="FFF8FAFC"/>
      </patternFill>
    </fill>
    <fill>
      <patternFill patternType="solid">
        <fgColor rgb="FFEEF2F8"/>
        <bgColor rgb="FFF7F9FC"/>
      </patternFill>
    </fill>
    <fill>
      <patternFill patternType="solid">
        <fgColor rgb="FF2A3050"/>
        <bgColor rgb="FF242B4B"/>
      </patternFill>
    </fill>
    <fill>
      <patternFill patternType="solid">
        <fgColor rgb="FFF8FAFC"/>
        <bgColor rgb="FFF7F9FC"/>
      </patternFill>
    </fill>
    <fill>
      <patternFill patternType="solid">
        <fgColor rgb="FF4F80E1"/>
        <bgColor rgb="FF4F81BD"/>
      </patternFill>
    </fill>
    <fill>
      <patternFill patternType="solid">
        <fgColor rgb="FF1D6A47"/>
        <bgColor rgb="FF15572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6C90E"/>
      </bottom>
      <diagonal/>
    </border>
    <border>
      <left style="medium">
        <color rgb="FF4F80E1"/>
      </left>
      <right/>
      <top style="medium">
        <color rgb="FF4F80E1"/>
      </top>
      <bottom/>
      <diagonal/>
    </border>
    <border>
      <left style="medium">
        <color rgb="FF48BB78"/>
      </left>
      <right/>
      <top style="medium">
        <color rgb="FF48BB78"/>
      </top>
      <bottom/>
      <diagonal/>
    </border>
    <border>
      <left style="medium">
        <color rgb="FFF6AD55"/>
      </left>
      <right/>
      <top style="medium">
        <color rgb="FFF6AD55"/>
      </top>
      <bottom/>
      <diagonal/>
    </border>
    <border>
      <left style="medium">
        <color rgb="FF56CFE1"/>
      </left>
      <right/>
      <top style="medium">
        <color rgb="FF56CFE1"/>
      </top>
      <bottom/>
      <diagonal/>
    </border>
    <border>
      <left style="thin">
        <color rgb="FF2C5282"/>
      </left>
      <right style="thin">
        <color rgb="FF2C5282"/>
      </right>
      <top style="thin">
        <color rgb="FF2C5282"/>
      </top>
      <bottom style="thin">
        <color rgb="FF2C528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F80E1"/>
      </left>
      <right style="thin">
        <color rgb="FF4F80E1"/>
      </right>
      <top style="thin">
        <color rgb="FF4F80E1"/>
      </top>
      <bottom style="thin">
        <color rgb="FF4F80E1"/>
      </bottom>
      <diagonal/>
    </border>
    <border>
      <left style="thin">
        <color rgb="FF3A4070"/>
      </left>
      <right style="thin">
        <color rgb="FF3A4070"/>
      </right>
      <top style="thin">
        <color rgb="FF3A4070"/>
      </top>
      <bottom style="thin">
        <color rgb="FF3A407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2" fillId="11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3" fontId="0" fillId="3" borderId="0" xfId="0" applyNumberFormat="1" applyFill="1"/>
    <xf numFmtId="0" fontId="10" fillId="5" borderId="6" xfId="0" applyFont="1" applyFill="1" applyBorder="1" applyAlignment="1">
      <alignment horizontal="center" vertical="center"/>
    </xf>
    <xf numFmtId="164" fontId="11" fillId="6" borderId="7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3" fontId="11" fillId="6" borderId="7" xfId="0" applyNumberFormat="1" applyFont="1" applyFill="1" applyBorder="1" applyAlignment="1">
      <alignment horizontal="center" vertical="center"/>
    </xf>
    <xf numFmtId="4" fontId="11" fillId="6" borderId="7" xfId="0" applyNumberFormat="1" applyFont="1" applyFill="1" applyBorder="1" applyAlignment="1">
      <alignment horizontal="center" vertical="center"/>
    </xf>
    <xf numFmtId="165" fontId="11" fillId="6" borderId="7" xfId="0" applyNumberFormat="1" applyFont="1" applyFill="1" applyBorder="1" applyAlignment="1">
      <alignment horizontal="center" vertical="center"/>
    </xf>
    <xf numFmtId="164" fontId="11" fillId="7" borderId="7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3" fontId="11" fillId="7" borderId="7" xfId="0" applyNumberFormat="1" applyFont="1" applyFill="1" applyBorder="1" applyAlignment="1">
      <alignment horizontal="center" vertical="center"/>
    </xf>
    <xf numFmtId="4" fontId="11" fillId="7" borderId="7" xfId="0" applyNumberFormat="1" applyFont="1" applyFill="1" applyBorder="1" applyAlignment="1">
      <alignment horizontal="center" vertical="center"/>
    </xf>
    <xf numFmtId="165" fontId="11" fillId="7" borderId="7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3" fontId="14" fillId="8" borderId="9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3" fontId="14" fillId="3" borderId="9" xfId="0" applyNumberFormat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0" fillId="9" borderId="0" xfId="0" applyFill="1"/>
    <xf numFmtId="0" fontId="19" fillId="5" borderId="6" xfId="0" applyFont="1" applyFill="1" applyBorder="1" applyAlignment="1">
      <alignment horizontal="center" vertical="center"/>
    </xf>
    <xf numFmtId="3" fontId="19" fillId="5" borderId="6" xfId="0" applyNumberFormat="1" applyFont="1" applyFill="1" applyBorder="1" applyAlignment="1">
      <alignment horizontal="center" vertical="center"/>
    </xf>
    <xf numFmtId="165" fontId="19" fillId="5" borderId="6" xfId="0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/>
    </xf>
    <xf numFmtId="3" fontId="19" fillId="10" borderId="6" xfId="0" applyNumberFormat="1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721C24"/>
      </font>
      <fill>
        <patternFill>
          <bgColor rgb="FFF8D7DA"/>
        </patternFill>
      </fill>
    </dxf>
    <dxf>
      <font>
        <b/>
        <color rgb="FF155724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55724"/>
      <rgbColor rgb="FF1E3A5F"/>
      <rgbColor rgb="FF808000"/>
      <rgbColor rgb="FF800080"/>
      <rgbColor rgb="FF1D6A47"/>
      <rgbColor rgb="FFCCCCCC"/>
      <rgbColor rgb="FF878787"/>
      <rgbColor rgb="FF4BACC6"/>
      <rgbColor rgb="FFC0504D"/>
      <rgbColor rgb="FFF9F9F9"/>
      <rgbColor rgb="FFEEF2F8"/>
      <rgbColor rgb="FF660066"/>
      <rgbColor rgb="FFFC8181"/>
      <rgbColor rgb="FF2C5282"/>
      <rgbColor rgb="FFD9D9D9"/>
      <rgbColor rgb="FF2E3561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7F9FC"/>
      <rgbColor rgb="FFD4EDDA"/>
      <rgbColor rgb="FFF8FAFC"/>
      <rgbColor rgb="FF99CCFF"/>
      <rgbColor rgb="FFFF99CC"/>
      <rgbColor rgb="FFCC99FF"/>
      <rgbColor rgb="FFF8D7DA"/>
      <rgbColor rgb="FF4F80E1"/>
      <rgbColor rgb="FF56CFE1"/>
      <rgbColor rgb="FF9BBB59"/>
      <rgbColor rgb="FFF6C90E"/>
      <rgbColor rgb="FFF6AD55"/>
      <rgbColor rgb="FFFF6600"/>
      <rgbColor rgb="FF8064A2"/>
      <rgbColor rgb="FFA0AEC0"/>
      <rgbColor rgb="FF1A365D"/>
      <rgbColor rgb="FF48BB78"/>
      <rgbColor rgb="FF1A1F36"/>
      <rgbColor rgb="FF242B4B"/>
      <rgbColor rgb="FF993300"/>
      <rgbColor rgb="FF993366"/>
      <rgbColor rgb="FF3A4070"/>
      <rgbColor rgb="FF2A3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039780746118879"/>
          <c:y val="4.312686769899484E-2"/>
          <c:w val="0.71112381607302066"/>
          <c:h val="0.85865500975525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0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'Region Summary'!$B$2:$B$5</c:f>
              <c:numCache>
                <c:formatCode>#,##0</c:formatCode>
                <c:ptCount val="4"/>
                <c:pt idx="0">
                  <c:v>3796463</c:v>
                </c:pt>
                <c:pt idx="1">
                  <c:v>3101447</c:v>
                </c:pt>
                <c:pt idx="2">
                  <c:v>2946136</c:v>
                </c:pt>
                <c:pt idx="3">
                  <c:v>2794283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D-4097-935E-B9E97367F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07195"/>
        <c:axId val="92788133"/>
      </c:barChart>
      <c:catAx>
        <c:axId val="8210719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88133"/>
        <c:crosses val="autoZero"/>
        <c:auto val="1"/>
        <c:lblAlgn val="ctr"/>
        <c:lblOffset val="100"/>
        <c:noMultiLvlLbl val="0"/>
      </c:catAx>
      <c:valAx>
        <c:axId val="927881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07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'Product Summary'!$B$1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20E-4AB2-8FE0-C1440DE31D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20E-4AB2-8FE0-C1440DE31D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20E-4AB2-8FE0-C1440DE31DE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20E-4AB2-8FE0-C1440DE31DE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20E-4AB2-8FE0-C1440DE31DE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0E-4AB2-8FE0-C1440DE31DE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0E-4AB2-8FE0-C1440DE31DE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0E-4AB2-8FE0-C1440DE31DE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20E-4AB2-8FE0-C1440DE31DE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20E-4AB2-8FE0-C1440DE31D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 Summary'!$A$2:$A$6</c:f>
              <c:strCache>
                <c:ptCount val="5"/>
                <c:pt idx="0">
                  <c:v>Laptop</c:v>
                </c:pt>
                <c:pt idx="1">
                  <c:v>Tablet</c:v>
                </c:pt>
                <c:pt idx="2">
                  <c:v>Smartwatch</c:v>
                </c:pt>
                <c:pt idx="3">
                  <c:v>Smartphone</c:v>
                </c:pt>
                <c:pt idx="4">
                  <c:v>Headphones</c:v>
                </c:pt>
              </c:strCache>
            </c:strRef>
          </c:cat>
          <c:val>
            <c:numRef>
              <c:f>'Product Summary'!$B$2:$B$6</c:f>
              <c:numCache>
                <c:formatCode>#,##0</c:formatCode>
                <c:ptCount val="5"/>
                <c:pt idx="0">
                  <c:v>2956842</c:v>
                </c:pt>
                <c:pt idx="1">
                  <c:v>2873086</c:v>
                </c:pt>
                <c:pt idx="2">
                  <c:v>2376933</c:v>
                </c:pt>
                <c:pt idx="3">
                  <c:v>2343040</c:v>
                </c:pt>
                <c:pt idx="4">
                  <c:v>2088428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0E-4AB2-8FE0-C1440DE31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Revenue ($)</c:v>
                </c:pt>
              </c:strCache>
            </c:strRef>
          </c:tx>
          <c:spPr>
            <a:ln w="20160">
              <a:solidFill>
                <a:srgbClr val="48BB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Summary'!$A$2:$A$13</c:f>
              <c:strCache>
                <c:ptCount val="12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</c:strCache>
            </c:strRef>
          </c:cat>
          <c:val>
            <c:numRef>
              <c:f>'Monthly Summary'!$B$2:$B$13</c:f>
              <c:numCache>
                <c:formatCode>#,##0</c:formatCode>
                <c:ptCount val="12"/>
                <c:pt idx="0">
                  <c:v>1253930</c:v>
                </c:pt>
                <c:pt idx="1">
                  <c:v>901948</c:v>
                </c:pt>
                <c:pt idx="2">
                  <c:v>1372699</c:v>
                </c:pt>
                <c:pt idx="3">
                  <c:v>803163</c:v>
                </c:pt>
                <c:pt idx="4">
                  <c:v>711639</c:v>
                </c:pt>
                <c:pt idx="5">
                  <c:v>1065349</c:v>
                </c:pt>
                <c:pt idx="6">
                  <c:v>1010735</c:v>
                </c:pt>
                <c:pt idx="7">
                  <c:v>1127494</c:v>
                </c:pt>
                <c:pt idx="8">
                  <c:v>955645</c:v>
                </c:pt>
                <c:pt idx="9">
                  <c:v>1222006</c:v>
                </c:pt>
                <c:pt idx="10">
                  <c:v>715954</c:v>
                </c:pt>
                <c:pt idx="11">
                  <c:v>1497767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F7-4A01-AD08-16530FA9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34699"/>
        <c:axId val="65237923"/>
      </c:lineChart>
      <c:catAx>
        <c:axId val="32346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37923"/>
        <c:crosses val="autoZero"/>
        <c:auto val="1"/>
        <c:lblAlgn val="ctr"/>
        <c:lblOffset val="100"/>
        <c:noMultiLvlLbl val="0"/>
      </c:catAx>
      <c:valAx>
        <c:axId val="65237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34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31750</xdr:colOff>
      <xdr:row>23</xdr:row>
      <xdr:rowOff>38880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44450</xdr:colOff>
      <xdr:row>9</xdr:row>
      <xdr:rowOff>0</xdr:rowOff>
    </xdr:from>
    <xdr:to>
      <xdr:col>11</xdr:col>
      <xdr:colOff>0</xdr:colOff>
      <xdr:row>23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14</xdr:col>
      <xdr:colOff>68760</xdr:colOff>
      <xdr:row>42</xdr:row>
      <xdr:rowOff>38880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58695</xdr:colOff>
      <xdr:row>0</xdr:row>
      <xdr:rowOff>232020</xdr:rowOff>
    </xdr:from>
    <xdr:to>
      <xdr:col>16</xdr:col>
      <xdr:colOff>387351</xdr:colOff>
      <xdr:row>13</xdr:row>
      <xdr:rowOff>63500</xdr:rowOff>
    </xdr:to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929645" y="232020"/>
          <a:ext cx="3948156" cy="239053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6C90E"/>
  </sheetPr>
  <dimension ref="A1:K5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55" sqref="D55"/>
    </sheetView>
  </sheetViews>
  <sheetFormatPr defaultColWidth="8.6328125" defaultRowHeight="14.5" x14ac:dyDescent="0.35"/>
  <cols>
    <col min="1" max="1" width="2" customWidth="1"/>
    <col min="2" max="5" width="14" customWidth="1"/>
    <col min="6" max="6" width="2" customWidth="1"/>
    <col min="7" max="10" width="14" customWidth="1"/>
    <col min="11" max="11" width="2" customWidth="1"/>
  </cols>
  <sheetData>
    <row r="1" spans="1:11" ht="18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9.75" customHeigh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8" customHeight="1" x14ac:dyDescent="0.35">
      <c r="A5" s="13"/>
      <c r="B5" s="11" t="s">
        <v>1</v>
      </c>
      <c r="C5" s="11"/>
      <c r="D5" s="10" t="s">
        <v>2</v>
      </c>
      <c r="E5" s="10"/>
      <c r="F5" s="13"/>
      <c r="G5" s="9" t="s">
        <v>3</v>
      </c>
      <c r="H5" s="9"/>
      <c r="I5" s="8" t="s">
        <v>4</v>
      </c>
      <c r="J5" s="8"/>
      <c r="K5" s="13"/>
    </row>
    <row r="6" spans="1:11" ht="18" customHeight="1" x14ac:dyDescent="0.35">
      <c r="A6" s="13"/>
      <c r="B6" s="11"/>
      <c r="C6" s="11"/>
      <c r="D6" s="10"/>
      <c r="E6" s="10"/>
      <c r="F6" s="13"/>
      <c r="G6" s="9"/>
      <c r="H6" s="9"/>
      <c r="I6" s="8"/>
      <c r="J6" s="8"/>
      <c r="K6" s="13"/>
    </row>
    <row r="7" spans="1:11" ht="18" customHeight="1" x14ac:dyDescent="0.35">
      <c r="A7" s="13"/>
      <c r="B7" s="11"/>
      <c r="C7" s="11"/>
      <c r="D7" s="10"/>
      <c r="E7" s="10"/>
      <c r="F7" s="13"/>
      <c r="G7" s="9"/>
      <c r="H7" s="9"/>
      <c r="I7" s="8"/>
      <c r="J7" s="8"/>
      <c r="K7" s="13"/>
    </row>
    <row r="8" spans="1:11" ht="18" customHeight="1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ht="24" customHeight="1" x14ac:dyDescent="0.35">
      <c r="A9" s="13"/>
      <c r="B9" s="7" t="s">
        <v>5</v>
      </c>
      <c r="C9" s="7"/>
      <c r="D9" s="7"/>
      <c r="E9" s="7"/>
      <c r="F9" s="13"/>
      <c r="G9" s="6" t="s">
        <v>6</v>
      </c>
      <c r="H9" s="6"/>
      <c r="I9" s="6"/>
      <c r="J9" s="6"/>
      <c r="K9" s="13"/>
    </row>
    <row r="10" spans="1:11" ht="18" customHeigh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8" customHeigh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8" customHeigh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8" customHeight="1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8" customHeigh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8" customHeight="1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8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8" customHeigh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8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8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8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8" customHeigh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8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8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8" customHeigh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8" customHeight="1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8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8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24" customHeight="1" x14ac:dyDescent="0.35">
      <c r="A28" s="13"/>
      <c r="B28" s="5" t="s">
        <v>7</v>
      </c>
      <c r="C28" s="5"/>
      <c r="D28" s="5"/>
      <c r="E28" s="5"/>
      <c r="F28" s="5"/>
      <c r="G28" s="5"/>
      <c r="H28" s="5"/>
      <c r="I28" s="5"/>
      <c r="J28" s="5"/>
      <c r="K28" s="13"/>
    </row>
    <row r="29" spans="1:11" ht="18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8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8" customHeigh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8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18" customHeigh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8" customHeigh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18" customHeigh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18" customHeigh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8" customHeigh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18" customHeigh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8" customHeigh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18" customHeigh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18" customHeight="1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18" customHeight="1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18" customHeigh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18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18" customHeigh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19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8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8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8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8" customHeight="1" x14ac:dyDescent="0.3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8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18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1:11" ht="18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18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8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ht="18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18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ht="18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8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</sheetData>
  <mergeCells count="9">
    <mergeCell ref="B9:E9"/>
    <mergeCell ref="G9:J9"/>
    <mergeCell ref="B28:J28"/>
    <mergeCell ref="A46:K46"/>
    <mergeCell ref="A1:K3"/>
    <mergeCell ref="B5:C7"/>
    <mergeCell ref="D5:E7"/>
    <mergeCell ref="G5:H7"/>
    <mergeCell ref="I5:J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showGridLines="0" topLeftCell="C1" zoomScaleNormal="100" workbookViewId="0">
      <pane ySplit="1" topLeftCell="A2" activePane="bottomLeft" state="frozen"/>
      <selection pane="bottomLeft" activeCell="V18" sqref="V18"/>
    </sheetView>
  </sheetViews>
  <sheetFormatPr defaultColWidth="8.6328125" defaultRowHeight="14.5" x14ac:dyDescent="0.35"/>
  <cols>
    <col min="1" max="1" width="13" customWidth="1"/>
    <col min="2" max="3" width="10" customWidth="1"/>
    <col min="4" max="4" width="14" customWidth="1"/>
    <col min="5" max="5" width="11" customWidth="1"/>
    <col min="6" max="7" width="14" customWidth="1"/>
    <col min="8" max="8" width="13" customWidth="1"/>
    <col min="9" max="9" width="16" customWidth="1"/>
    <col min="10" max="10" width="12" customWidth="1"/>
  </cols>
  <sheetData>
    <row r="1" spans="1:10" ht="21.75" customHeight="1" x14ac:dyDescent="0.3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</row>
    <row r="2" spans="1:10" ht="15" customHeight="1" x14ac:dyDescent="0.35">
      <c r="A2" s="16">
        <v>45138</v>
      </c>
      <c r="B2" s="17" t="s">
        <v>18</v>
      </c>
      <c r="C2" s="17" t="s">
        <v>19</v>
      </c>
      <c r="D2" s="17" t="s">
        <v>20</v>
      </c>
      <c r="E2" s="18">
        <v>2</v>
      </c>
      <c r="F2" s="18">
        <v>682</v>
      </c>
      <c r="G2" s="18">
        <v>1364</v>
      </c>
      <c r="H2" s="19">
        <v>393.01729806746499</v>
      </c>
      <c r="I2" s="20">
        <f t="shared" ref="I2:I65" si="0">IFERROR(H2/G2,0)</f>
        <v>0.28813584902306816</v>
      </c>
      <c r="J2" s="17" t="str">
        <f t="shared" ref="J2:J65" si="1">IF(G2&gt;=50000,"High",IF(G2&gt;=20000,"Medium","Low"))</f>
        <v>Low</v>
      </c>
    </row>
    <row r="3" spans="1:10" ht="15" customHeight="1" x14ac:dyDescent="0.35">
      <c r="A3" s="21">
        <v>45046</v>
      </c>
      <c r="B3" s="22" t="s">
        <v>18</v>
      </c>
      <c r="C3" s="22" t="s">
        <v>19</v>
      </c>
      <c r="D3" s="22" t="s">
        <v>21</v>
      </c>
      <c r="E3" s="23">
        <v>35</v>
      </c>
      <c r="F3" s="23">
        <v>1101</v>
      </c>
      <c r="G3" s="23">
        <v>38535</v>
      </c>
      <c r="H3" s="24">
        <v>5851.9001205785198</v>
      </c>
      <c r="I3" s="25">
        <f t="shared" si="0"/>
        <v>0.15185935177315479</v>
      </c>
      <c r="J3" s="22" t="str">
        <f t="shared" si="1"/>
        <v>Medium</v>
      </c>
    </row>
    <row r="4" spans="1:10" ht="15" customHeight="1" x14ac:dyDescent="0.35">
      <c r="A4" s="16">
        <v>45260</v>
      </c>
      <c r="B4" s="17" t="s">
        <v>18</v>
      </c>
      <c r="C4" s="17" t="s">
        <v>22</v>
      </c>
      <c r="D4" s="17" t="s">
        <v>23</v>
      </c>
      <c r="E4" s="18">
        <v>37</v>
      </c>
      <c r="F4" s="18">
        <v>1248</v>
      </c>
      <c r="G4" s="18">
        <v>46176</v>
      </c>
      <c r="H4" s="19">
        <v>8585.5665970066093</v>
      </c>
      <c r="I4" s="20">
        <f t="shared" si="0"/>
        <v>0.18593136254778694</v>
      </c>
      <c r="J4" s="17" t="str">
        <f t="shared" si="1"/>
        <v>Medium</v>
      </c>
    </row>
    <row r="5" spans="1:10" ht="15" customHeight="1" x14ac:dyDescent="0.35">
      <c r="A5" s="21">
        <v>45169</v>
      </c>
      <c r="B5" s="22" t="s">
        <v>24</v>
      </c>
      <c r="C5" s="22" t="s">
        <v>19</v>
      </c>
      <c r="D5" s="22" t="s">
        <v>25</v>
      </c>
      <c r="E5" s="23">
        <v>5</v>
      </c>
      <c r="F5" s="23">
        <v>1876</v>
      </c>
      <c r="G5" s="23">
        <v>9380</v>
      </c>
      <c r="H5" s="24">
        <v>2575.2419499091102</v>
      </c>
      <c r="I5" s="25">
        <f t="shared" si="0"/>
        <v>0.27454605009692007</v>
      </c>
      <c r="J5" s="22" t="str">
        <f t="shared" si="1"/>
        <v>Low</v>
      </c>
    </row>
    <row r="6" spans="1:10" ht="15" customHeight="1" x14ac:dyDescent="0.35">
      <c r="A6" s="16">
        <v>45077</v>
      </c>
      <c r="B6" s="17" t="s">
        <v>26</v>
      </c>
      <c r="C6" s="17" t="s">
        <v>27</v>
      </c>
      <c r="D6" s="17" t="s">
        <v>25</v>
      </c>
      <c r="E6" s="18">
        <v>1</v>
      </c>
      <c r="F6" s="18">
        <v>1340</v>
      </c>
      <c r="G6" s="18">
        <v>1340</v>
      </c>
      <c r="H6" s="19">
        <v>359.63819590020501</v>
      </c>
      <c r="I6" s="20">
        <f t="shared" si="0"/>
        <v>0.26838671335836195</v>
      </c>
      <c r="J6" s="17" t="str">
        <f t="shared" si="1"/>
        <v>Low</v>
      </c>
    </row>
    <row r="7" spans="1:10" ht="15" customHeight="1" x14ac:dyDescent="0.35">
      <c r="A7" s="21">
        <v>45138</v>
      </c>
      <c r="B7" s="22" t="s">
        <v>24</v>
      </c>
      <c r="C7" s="22" t="s">
        <v>27</v>
      </c>
      <c r="D7" s="22" t="s">
        <v>20</v>
      </c>
      <c r="E7" s="23">
        <v>40</v>
      </c>
      <c r="F7" s="23">
        <v>681</v>
      </c>
      <c r="G7" s="23">
        <v>27240</v>
      </c>
      <c r="H7" s="24">
        <v>3737.88052442652</v>
      </c>
      <c r="I7" s="25">
        <f t="shared" si="0"/>
        <v>0.1372202835692555</v>
      </c>
      <c r="J7" s="22" t="str">
        <f t="shared" si="1"/>
        <v>Medium</v>
      </c>
    </row>
    <row r="8" spans="1:10" ht="15" customHeight="1" x14ac:dyDescent="0.35">
      <c r="A8" s="16">
        <v>45230</v>
      </c>
      <c r="B8" s="17" t="s">
        <v>24</v>
      </c>
      <c r="C8" s="17" t="s">
        <v>22</v>
      </c>
      <c r="D8" s="17" t="s">
        <v>21</v>
      </c>
      <c r="E8" s="18">
        <v>12</v>
      </c>
      <c r="F8" s="18">
        <v>1615</v>
      </c>
      <c r="G8" s="18">
        <v>19380</v>
      </c>
      <c r="H8" s="19">
        <v>5049.0454687681704</v>
      </c>
      <c r="I8" s="20">
        <f t="shared" si="0"/>
        <v>0.26052866195914193</v>
      </c>
      <c r="J8" s="17" t="str">
        <f t="shared" si="1"/>
        <v>Low</v>
      </c>
    </row>
    <row r="9" spans="1:10" ht="15" customHeight="1" x14ac:dyDescent="0.35">
      <c r="A9" s="21">
        <v>45016</v>
      </c>
      <c r="B9" s="22" t="s">
        <v>18</v>
      </c>
      <c r="C9" s="22" t="s">
        <v>19</v>
      </c>
      <c r="D9" s="22" t="s">
        <v>25</v>
      </c>
      <c r="E9" s="23">
        <v>36</v>
      </c>
      <c r="F9" s="23">
        <v>1116</v>
      </c>
      <c r="G9" s="23">
        <v>40176</v>
      </c>
      <c r="H9" s="24">
        <v>7699.2232723163097</v>
      </c>
      <c r="I9" s="25">
        <f t="shared" si="0"/>
        <v>0.19163737734757841</v>
      </c>
      <c r="J9" s="22" t="str">
        <f t="shared" si="1"/>
        <v>Medium</v>
      </c>
    </row>
    <row r="10" spans="1:10" ht="15" customHeight="1" x14ac:dyDescent="0.35">
      <c r="A10" s="16">
        <v>45138</v>
      </c>
      <c r="B10" s="17" t="s">
        <v>18</v>
      </c>
      <c r="C10" s="17" t="s">
        <v>19</v>
      </c>
      <c r="D10" s="17" t="s">
        <v>20</v>
      </c>
      <c r="E10" s="18">
        <v>45</v>
      </c>
      <c r="F10" s="18">
        <v>1193</v>
      </c>
      <c r="G10" s="18">
        <v>53685</v>
      </c>
      <c r="H10" s="19">
        <v>10554.1367795805</v>
      </c>
      <c r="I10" s="20">
        <f t="shared" si="0"/>
        <v>0.19659377441707179</v>
      </c>
      <c r="J10" s="17" t="str">
        <f t="shared" si="1"/>
        <v>High</v>
      </c>
    </row>
    <row r="11" spans="1:10" ht="15" customHeight="1" x14ac:dyDescent="0.35">
      <c r="A11" s="21">
        <v>45260</v>
      </c>
      <c r="B11" s="22" t="s">
        <v>24</v>
      </c>
      <c r="C11" s="22" t="s">
        <v>19</v>
      </c>
      <c r="D11" s="22" t="s">
        <v>23</v>
      </c>
      <c r="E11" s="23">
        <v>23</v>
      </c>
      <c r="F11" s="23">
        <v>1163</v>
      </c>
      <c r="G11" s="23">
        <v>26749</v>
      </c>
      <c r="H11" s="24">
        <v>3388.99115643082</v>
      </c>
      <c r="I11" s="25">
        <f t="shared" si="0"/>
        <v>0.12669599448318891</v>
      </c>
      <c r="J11" s="22" t="str">
        <f t="shared" si="1"/>
        <v>Medium</v>
      </c>
    </row>
    <row r="12" spans="1:10" ht="15" customHeight="1" x14ac:dyDescent="0.35">
      <c r="A12" s="16">
        <v>45260</v>
      </c>
      <c r="B12" s="17" t="s">
        <v>26</v>
      </c>
      <c r="C12" s="17" t="s">
        <v>28</v>
      </c>
      <c r="D12" s="17" t="s">
        <v>25</v>
      </c>
      <c r="E12" s="18">
        <v>47</v>
      </c>
      <c r="F12" s="18">
        <v>736</v>
      </c>
      <c r="G12" s="18">
        <v>34592</v>
      </c>
      <c r="H12" s="19">
        <v>4016.8335127772898</v>
      </c>
      <c r="I12" s="20">
        <f t="shared" si="0"/>
        <v>0.11612030275142489</v>
      </c>
      <c r="J12" s="17" t="str">
        <f t="shared" si="1"/>
        <v>Medium</v>
      </c>
    </row>
    <row r="13" spans="1:10" ht="15" customHeight="1" x14ac:dyDescent="0.35">
      <c r="A13" s="21">
        <v>45169</v>
      </c>
      <c r="B13" s="22" t="s">
        <v>29</v>
      </c>
      <c r="C13" s="22" t="s">
        <v>30</v>
      </c>
      <c r="D13" s="22" t="s">
        <v>20</v>
      </c>
      <c r="E13" s="23">
        <v>31</v>
      </c>
      <c r="F13" s="23">
        <v>1302</v>
      </c>
      <c r="G13" s="23">
        <v>40362</v>
      </c>
      <c r="H13" s="24">
        <v>9912.4172616150208</v>
      </c>
      <c r="I13" s="25">
        <f t="shared" si="0"/>
        <v>0.245587861394753</v>
      </c>
      <c r="J13" s="22" t="str">
        <f t="shared" si="1"/>
        <v>Medium</v>
      </c>
    </row>
    <row r="14" spans="1:10" ht="15" customHeight="1" x14ac:dyDescent="0.35">
      <c r="A14" s="16">
        <v>45077</v>
      </c>
      <c r="B14" s="17" t="s">
        <v>24</v>
      </c>
      <c r="C14" s="17" t="s">
        <v>28</v>
      </c>
      <c r="D14" s="17" t="s">
        <v>20</v>
      </c>
      <c r="E14" s="18">
        <v>11</v>
      </c>
      <c r="F14" s="18">
        <v>1803</v>
      </c>
      <c r="G14" s="18">
        <v>19833</v>
      </c>
      <c r="H14" s="19">
        <v>3952.5628069325298</v>
      </c>
      <c r="I14" s="20">
        <f t="shared" si="0"/>
        <v>0.19929223047105984</v>
      </c>
      <c r="J14" s="17" t="str">
        <f t="shared" si="1"/>
        <v>Low</v>
      </c>
    </row>
    <row r="15" spans="1:10" ht="15" customHeight="1" x14ac:dyDescent="0.35">
      <c r="A15" s="21">
        <v>45046</v>
      </c>
      <c r="B15" s="22" t="s">
        <v>26</v>
      </c>
      <c r="C15" s="22" t="s">
        <v>30</v>
      </c>
      <c r="D15" s="22" t="s">
        <v>31</v>
      </c>
      <c r="E15" s="23">
        <v>10</v>
      </c>
      <c r="F15" s="23">
        <v>1396</v>
      </c>
      <c r="G15" s="23">
        <v>13960</v>
      </c>
      <c r="H15" s="24">
        <v>2615.68716170158</v>
      </c>
      <c r="I15" s="25">
        <f t="shared" si="0"/>
        <v>0.1873701405230358</v>
      </c>
      <c r="J15" s="22" t="str">
        <f t="shared" si="1"/>
        <v>Low</v>
      </c>
    </row>
    <row r="16" spans="1:10" ht="15" customHeight="1" x14ac:dyDescent="0.35">
      <c r="A16" s="16">
        <v>45169</v>
      </c>
      <c r="B16" s="17" t="s">
        <v>18</v>
      </c>
      <c r="C16" s="17" t="s">
        <v>19</v>
      </c>
      <c r="D16" s="17" t="s">
        <v>23</v>
      </c>
      <c r="E16" s="18">
        <v>3</v>
      </c>
      <c r="F16" s="18">
        <v>1235</v>
      </c>
      <c r="G16" s="18">
        <v>3705</v>
      </c>
      <c r="H16" s="19">
        <v>911.065597431426</v>
      </c>
      <c r="I16" s="20">
        <f t="shared" si="0"/>
        <v>0.24590164573047935</v>
      </c>
      <c r="J16" s="17" t="str">
        <f t="shared" si="1"/>
        <v>Low</v>
      </c>
    </row>
    <row r="17" spans="1:10" ht="15" customHeight="1" x14ac:dyDescent="0.35">
      <c r="A17" s="21">
        <v>45169</v>
      </c>
      <c r="B17" s="22" t="s">
        <v>18</v>
      </c>
      <c r="C17" s="22" t="s">
        <v>19</v>
      </c>
      <c r="D17" s="22" t="s">
        <v>31</v>
      </c>
      <c r="E17" s="23">
        <v>14</v>
      </c>
      <c r="F17" s="23">
        <v>327</v>
      </c>
      <c r="G17" s="23">
        <v>4578</v>
      </c>
      <c r="H17" s="24">
        <v>1158.70361031626</v>
      </c>
      <c r="I17" s="25">
        <f t="shared" si="0"/>
        <v>0.25310257979822193</v>
      </c>
      <c r="J17" s="22" t="str">
        <f t="shared" si="1"/>
        <v>Low</v>
      </c>
    </row>
    <row r="18" spans="1:10" ht="15" customHeight="1" x14ac:dyDescent="0.35">
      <c r="A18" s="16">
        <v>45016</v>
      </c>
      <c r="B18" s="17" t="s">
        <v>26</v>
      </c>
      <c r="C18" s="17" t="s">
        <v>28</v>
      </c>
      <c r="D18" s="17" t="s">
        <v>21</v>
      </c>
      <c r="E18" s="18">
        <v>16</v>
      </c>
      <c r="F18" s="18">
        <v>1831</v>
      </c>
      <c r="G18" s="18">
        <v>29296</v>
      </c>
      <c r="H18" s="19">
        <v>3860.67473600828</v>
      </c>
      <c r="I18" s="20">
        <f t="shared" si="0"/>
        <v>0.13178163353387085</v>
      </c>
      <c r="J18" s="17" t="str">
        <f t="shared" si="1"/>
        <v>Medium</v>
      </c>
    </row>
    <row r="19" spans="1:10" ht="15" customHeight="1" x14ac:dyDescent="0.35">
      <c r="A19" s="21">
        <v>45107</v>
      </c>
      <c r="B19" s="22" t="s">
        <v>29</v>
      </c>
      <c r="C19" s="22" t="s">
        <v>28</v>
      </c>
      <c r="D19" s="22" t="s">
        <v>31</v>
      </c>
      <c r="E19" s="23">
        <v>10</v>
      </c>
      <c r="F19" s="23">
        <v>291</v>
      </c>
      <c r="G19" s="23">
        <v>2910</v>
      </c>
      <c r="H19" s="24">
        <v>646.15103699598706</v>
      </c>
      <c r="I19" s="25">
        <f t="shared" si="0"/>
        <v>0.22204502989552818</v>
      </c>
      <c r="J19" s="22" t="str">
        <f t="shared" si="1"/>
        <v>Low</v>
      </c>
    </row>
    <row r="20" spans="1:10" ht="15" customHeight="1" x14ac:dyDescent="0.35">
      <c r="A20" s="16">
        <v>45077</v>
      </c>
      <c r="B20" s="17" t="s">
        <v>18</v>
      </c>
      <c r="C20" s="17" t="s">
        <v>30</v>
      </c>
      <c r="D20" s="17" t="s">
        <v>31</v>
      </c>
      <c r="E20" s="18">
        <v>29</v>
      </c>
      <c r="F20" s="18">
        <v>1876</v>
      </c>
      <c r="G20" s="18">
        <v>54404</v>
      </c>
      <c r="H20" s="19">
        <v>6913.16069844704</v>
      </c>
      <c r="I20" s="20">
        <f t="shared" si="0"/>
        <v>0.12707081645553708</v>
      </c>
      <c r="J20" s="17" t="str">
        <f t="shared" si="1"/>
        <v>High</v>
      </c>
    </row>
    <row r="21" spans="1:10" ht="15" customHeight="1" x14ac:dyDescent="0.35">
      <c r="A21" s="21">
        <v>44985</v>
      </c>
      <c r="B21" s="22" t="s">
        <v>18</v>
      </c>
      <c r="C21" s="22" t="s">
        <v>27</v>
      </c>
      <c r="D21" s="22" t="s">
        <v>25</v>
      </c>
      <c r="E21" s="23">
        <v>10</v>
      </c>
      <c r="F21" s="23">
        <v>742</v>
      </c>
      <c r="G21" s="23">
        <v>7420</v>
      </c>
      <c r="H21" s="24">
        <v>1857.0406276670999</v>
      </c>
      <c r="I21" s="25">
        <f t="shared" si="0"/>
        <v>0.25027501720580864</v>
      </c>
      <c r="J21" s="22" t="str">
        <f t="shared" si="1"/>
        <v>Low</v>
      </c>
    </row>
    <row r="22" spans="1:10" ht="15" customHeight="1" x14ac:dyDescent="0.35">
      <c r="A22" s="16">
        <v>45169</v>
      </c>
      <c r="B22" s="17" t="s">
        <v>18</v>
      </c>
      <c r="C22" s="17" t="s">
        <v>30</v>
      </c>
      <c r="D22" s="17" t="s">
        <v>20</v>
      </c>
      <c r="E22" s="18">
        <v>12</v>
      </c>
      <c r="F22" s="18">
        <v>1045</v>
      </c>
      <c r="G22" s="18">
        <v>12540</v>
      </c>
      <c r="H22" s="19">
        <v>2901.64353191799</v>
      </c>
      <c r="I22" s="20">
        <f t="shared" si="0"/>
        <v>0.23139103125342822</v>
      </c>
      <c r="J22" s="17" t="str">
        <f t="shared" si="1"/>
        <v>Low</v>
      </c>
    </row>
    <row r="23" spans="1:10" ht="15" customHeight="1" x14ac:dyDescent="0.35">
      <c r="A23" s="21">
        <v>45291</v>
      </c>
      <c r="B23" s="22" t="s">
        <v>26</v>
      </c>
      <c r="C23" s="22" t="s">
        <v>28</v>
      </c>
      <c r="D23" s="22" t="s">
        <v>23</v>
      </c>
      <c r="E23" s="23">
        <v>30</v>
      </c>
      <c r="F23" s="23">
        <v>1755</v>
      </c>
      <c r="G23" s="23">
        <v>52650</v>
      </c>
      <c r="H23" s="24">
        <v>15338.1519600088</v>
      </c>
      <c r="I23" s="25">
        <f t="shared" si="0"/>
        <v>0.29132292421669137</v>
      </c>
      <c r="J23" s="22" t="str">
        <f t="shared" si="1"/>
        <v>High</v>
      </c>
    </row>
    <row r="24" spans="1:10" ht="15" customHeight="1" x14ac:dyDescent="0.35">
      <c r="A24" s="16">
        <v>45107</v>
      </c>
      <c r="B24" s="17" t="s">
        <v>24</v>
      </c>
      <c r="C24" s="17" t="s">
        <v>28</v>
      </c>
      <c r="D24" s="17" t="s">
        <v>31</v>
      </c>
      <c r="E24" s="18">
        <v>41</v>
      </c>
      <c r="F24" s="18">
        <v>1881</v>
      </c>
      <c r="G24" s="18">
        <v>77121</v>
      </c>
      <c r="H24" s="19">
        <v>8775.7222358847102</v>
      </c>
      <c r="I24" s="20">
        <f t="shared" si="0"/>
        <v>0.11379160327128422</v>
      </c>
      <c r="J24" s="17" t="str">
        <f t="shared" si="1"/>
        <v>High</v>
      </c>
    </row>
    <row r="25" spans="1:10" ht="15" customHeight="1" x14ac:dyDescent="0.35">
      <c r="A25" s="21">
        <v>44985</v>
      </c>
      <c r="B25" s="22" t="s">
        <v>18</v>
      </c>
      <c r="C25" s="22" t="s">
        <v>22</v>
      </c>
      <c r="D25" s="22" t="s">
        <v>23</v>
      </c>
      <c r="E25" s="23">
        <v>1</v>
      </c>
      <c r="F25" s="23">
        <v>1188</v>
      </c>
      <c r="G25" s="23">
        <v>1188</v>
      </c>
      <c r="H25" s="24">
        <v>132.35620174553799</v>
      </c>
      <c r="I25" s="25">
        <f t="shared" si="0"/>
        <v>0.11141094423025083</v>
      </c>
      <c r="J25" s="22" t="str">
        <f t="shared" si="1"/>
        <v>Low</v>
      </c>
    </row>
    <row r="26" spans="1:10" ht="15" customHeight="1" x14ac:dyDescent="0.35">
      <c r="A26" s="16">
        <v>45291</v>
      </c>
      <c r="B26" s="17" t="s">
        <v>24</v>
      </c>
      <c r="C26" s="17" t="s">
        <v>28</v>
      </c>
      <c r="D26" s="17" t="s">
        <v>31</v>
      </c>
      <c r="E26" s="18">
        <v>5</v>
      </c>
      <c r="F26" s="18">
        <v>646</v>
      </c>
      <c r="G26" s="18">
        <v>3230</v>
      </c>
      <c r="H26" s="19">
        <v>505.29285025180701</v>
      </c>
      <c r="I26" s="20">
        <f t="shared" si="0"/>
        <v>0.15643741493863994</v>
      </c>
      <c r="J26" s="17" t="str">
        <f t="shared" si="1"/>
        <v>Low</v>
      </c>
    </row>
    <row r="27" spans="1:10" ht="15" customHeight="1" x14ac:dyDescent="0.35">
      <c r="A27" s="21">
        <v>45077</v>
      </c>
      <c r="B27" s="22" t="s">
        <v>29</v>
      </c>
      <c r="C27" s="22" t="s">
        <v>22</v>
      </c>
      <c r="D27" s="22" t="s">
        <v>21</v>
      </c>
      <c r="E27" s="23">
        <v>20</v>
      </c>
      <c r="F27" s="23">
        <v>589</v>
      </c>
      <c r="G27" s="23">
        <v>11780</v>
      </c>
      <c r="H27" s="24">
        <v>1794.5785908818</v>
      </c>
      <c r="I27" s="25">
        <f t="shared" si="0"/>
        <v>0.15234113674718167</v>
      </c>
      <c r="J27" s="22" t="str">
        <f t="shared" si="1"/>
        <v>Low</v>
      </c>
    </row>
    <row r="28" spans="1:10" ht="15" customHeight="1" x14ac:dyDescent="0.35">
      <c r="A28" s="16">
        <v>44957</v>
      </c>
      <c r="B28" s="17" t="s">
        <v>18</v>
      </c>
      <c r="C28" s="17" t="s">
        <v>27</v>
      </c>
      <c r="D28" s="17" t="s">
        <v>31</v>
      </c>
      <c r="E28" s="18">
        <v>8</v>
      </c>
      <c r="F28" s="18">
        <v>871</v>
      </c>
      <c r="G28" s="18">
        <v>6968</v>
      </c>
      <c r="H28" s="19">
        <v>1040.9896543867401</v>
      </c>
      <c r="I28" s="20">
        <f t="shared" si="0"/>
        <v>0.14939575981440012</v>
      </c>
      <c r="J28" s="17" t="str">
        <f t="shared" si="1"/>
        <v>Low</v>
      </c>
    </row>
    <row r="29" spans="1:10" ht="15" customHeight="1" x14ac:dyDescent="0.35">
      <c r="A29" s="21">
        <v>45291</v>
      </c>
      <c r="B29" s="22" t="s">
        <v>18</v>
      </c>
      <c r="C29" s="22" t="s">
        <v>30</v>
      </c>
      <c r="D29" s="22" t="s">
        <v>25</v>
      </c>
      <c r="E29" s="23">
        <v>43</v>
      </c>
      <c r="F29" s="23">
        <v>242</v>
      </c>
      <c r="G29" s="23">
        <v>10406</v>
      </c>
      <c r="H29" s="24">
        <v>2926.6970329803798</v>
      </c>
      <c r="I29" s="25">
        <f t="shared" si="0"/>
        <v>0.28125091610420716</v>
      </c>
      <c r="J29" s="22" t="str">
        <f t="shared" si="1"/>
        <v>Low</v>
      </c>
    </row>
    <row r="30" spans="1:10" ht="15" customHeight="1" x14ac:dyDescent="0.35">
      <c r="A30" s="16">
        <v>45230</v>
      </c>
      <c r="B30" s="17" t="s">
        <v>29</v>
      </c>
      <c r="C30" s="17" t="s">
        <v>30</v>
      </c>
      <c r="D30" s="17" t="s">
        <v>20</v>
      </c>
      <c r="E30" s="18">
        <v>12</v>
      </c>
      <c r="F30" s="18">
        <v>453</v>
      </c>
      <c r="G30" s="18">
        <v>5436</v>
      </c>
      <c r="H30" s="19">
        <v>814.90662847638305</v>
      </c>
      <c r="I30" s="20">
        <f t="shared" si="0"/>
        <v>0.14990923996990121</v>
      </c>
      <c r="J30" s="17" t="str">
        <f t="shared" si="1"/>
        <v>Low</v>
      </c>
    </row>
    <row r="31" spans="1:10" ht="15" customHeight="1" x14ac:dyDescent="0.35">
      <c r="A31" s="21">
        <v>45107</v>
      </c>
      <c r="B31" s="22" t="s">
        <v>18</v>
      </c>
      <c r="C31" s="22" t="s">
        <v>22</v>
      </c>
      <c r="D31" s="22" t="s">
        <v>21</v>
      </c>
      <c r="E31" s="23">
        <v>1</v>
      </c>
      <c r="F31" s="23">
        <v>1353</v>
      </c>
      <c r="G31" s="23">
        <v>1353</v>
      </c>
      <c r="H31" s="24">
        <v>208.889595890408</v>
      </c>
      <c r="I31" s="25">
        <f t="shared" si="0"/>
        <v>0.15438994522572655</v>
      </c>
      <c r="J31" s="22" t="str">
        <f t="shared" si="1"/>
        <v>Low</v>
      </c>
    </row>
    <row r="32" spans="1:10" ht="15" customHeight="1" x14ac:dyDescent="0.35">
      <c r="A32" s="16">
        <v>45291</v>
      </c>
      <c r="B32" s="17" t="s">
        <v>24</v>
      </c>
      <c r="C32" s="17" t="s">
        <v>30</v>
      </c>
      <c r="D32" s="17" t="s">
        <v>31</v>
      </c>
      <c r="E32" s="18">
        <v>20</v>
      </c>
      <c r="F32" s="18">
        <v>1283</v>
      </c>
      <c r="G32" s="18">
        <v>25660</v>
      </c>
      <c r="H32" s="19">
        <v>6463.2318827289901</v>
      </c>
      <c r="I32" s="20">
        <f t="shared" si="0"/>
        <v>0.25187965248359273</v>
      </c>
      <c r="J32" s="17" t="str">
        <f t="shared" si="1"/>
        <v>Medium</v>
      </c>
    </row>
    <row r="33" spans="1:10" ht="15" customHeight="1" x14ac:dyDescent="0.35">
      <c r="A33" s="21">
        <v>45199</v>
      </c>
      <c r="B33" s="22" t="s">
        <v>26</v>
      </c>
      <c r="C33" s="22" t="s">
        <v>28</v>
      </c>
      <c r="D33" s="22" t="s">
        <v>23</v>
      </c>
      <c r="E33" s="23">
        <v>28</v>
      </c>
      <c r="F33" s="23">
        <v>862</v>
      </c>
      <c r="G33" s="23">
        <v>24136</v>
      </c>
      <c r="H33" s="24">
        <v>4584.58416747725</v>
      </c>
      <c r="I33" s="25">
        <f t="shared" si="0"/>
        <v>0.18994796849010814</v>
      </c>
      <c r="J33" s="22" t="str">
        <f t="shared" si="1"/>
        <v>Medium</v>
      </c>
    </row>
    <row r="34" spans="1:10" ht="15" customHeight="1" x14ac:dyDescent="0.35">
      <c r="A34" s="16">
        <v>44957</v>
      </c>
      <c r="B34" s="17" t="s">
        <v>24</v>
      </c>
      <c r="C34" s="17" t="s">
        <v>19</v>
      </c>
      <c r="D34" s="17" t="s">
        <v>21</v>
      </c>
      <c r="E34" s="18">
        <v>43</v>
      </c>
      <c r="F34" s="18">
        <v>666</v>
      </c>
      <c r="G34" s="18">
        <v>28638</v>
      </c>
      <c r="H34" s="19">
        <v>7312.4873860164998</v>
      </c>
      <c r="I34" s="20">
        <f t="shared" si="0"/>
        <v>0.25534211139103635</v>
      </c>
      <c r="J34" s="17" t="str">
        <f t="shared" si="1"/>
        <v>Medium</v>
      </c>
    </row>
    <row r="35" spans="1:10" ht="15" customHeight="1" x14ac:dyDescent="0.35">
      <c r="A35" s="21">
        <v>45260</v>
      </c>
      <c r="B35" s="22" t="s">
        <v>26</v>
      </c>
      <c r="C35" s="22" t="s">
        <v>22</v>
      </c>
      <c r="D35" s="22" t="s">
        <v>21</v>
      </c>
      <c r="E35" s="23">
        <v>37</v>
      </c>
      <c r="F35" s="23">
        <v>486</v>
      </c>
      <c r="G35" s="23">
        <v>17982</v>
      </c>
      <c r="H35" s="24">
        <v>2033.28284906456</v>
      </c>
      <c r="I35" s="25">
        <f t="shared" si="0"/>
        <v>0.11307323151287732</v>
      </c>
      <c r="J35" s="22" t="str">
        <f t="shared" si="1"/>
        <v>Low</v>
      </c>
    </row>
    <row r="36" spans="1:10" ht="15" customHeight="1" x14ac:dyDescent="0.35">
      <c r="A36" s="16">
        <v>45260</v>
      </c>
      <c r="B36" s="17" t="s">
        <v>26</v>
      </c>
      <c r="C36" s="17" t="s">
        <v>30</v>
      </c>
      <c r="D36" s="17" t="s">
        <v>31</v>
      </c>
      <c r="E36" s="18">
        <v>47</v>
      </c>
      <c r="F36" s="18">
        <v>1210</v>
      </c>
      <c r="G36" s="18">
        <v>56870</v>
      </c>
      <c r="H36" s="19">
        <v>11232.6347568411</v>
      </c>
      <c r="I36" s="20">
        <f t="shared" si="0"/>
        <v>0.19751423873467733</v>
      </c>
      <c r="J36" s="17" t="str">
        <f t="shared" si="1"/>
        <v>High</v>
      </c>
    </row>
    <row r="37" spans="1:10" ht="15" customHeight="1" x14ac:dyDescent="0.35">
      <c r="A37" s="21">
        <v>45230</v>
      </c>
      <c r="B37" s="22" t="s">
        <v>24</v>
      </c>
      <c r="C37" s="22" t="s">
        <v>22</v>
      </c>
      <c r="D37" s="22" t="s">
        <v>21</v>
      </c>
      <c r="E37" s="23">
        <v>37</v>
      </c>
      <c r="F37" s="23">
        <v>1740</v>
      </c>
      <c r="G37" s="23">
        <v>64380</v>
      </c>
      <c r="H37" s="24">
        <v>6870.80871595995</v>
      </c>
      <c r="I37" s="25">
        <f t="shared" si="0"/>
        <v>0.10672272003665657</v>
      </c>
      <c r="J37" s="22" t="str">
        <f t="shared" si="1"/>
        <v>High</v>
      </c>
    </row>
    <row r="38" spans="1:10" ht="15" customHeight="1" x14ac:dyDescent="0.35">
      <c r="A38" s="16">
        <v>45291</v>
      </c>
      <c r="B38" s="17" t="s">
        <v>24</v>
      </c>
      <c r="C38" s="17" t="s">
        <v>22</v>
      </c>
      <c r="D38" s="17" t="s">
        <v>23</v>
      </c>
      <c r="E38" s="18">
        <v>12</v>
      </c>
      <c r="F38" s="18">
        <v>1690</v>
      </c>
      <c r="G38" s="18">
        <v>20280</v>
      </c>
      <c r="H38" s="19">
        <v>2282.1213932149199</v>
      </c>
      <c r="I38" s="20">
        <f t="shared" si="0"/>
        <v>0.11253064069107099</v>
      </c>
      <c r="J38" s="17" t="str">
        <f t="shared" si="1"/>
        <v>Medium</v>
      </c>
    </row>
    <row r="39" spans="1:10" ht="15" customHeight="1" x14ac:dyDescent="0.35">
      <c r="A39" s="21">
        <v>45291</v>
      </c>
      <c r="B39" s="22" t="s">
        <v>24</v>
      </c>
      <c r="C39" s="22" t="s">
        <v>19</v>
      </c>
      <c r="D39" s="22" t="s">
        <v>21</v>
      </c>
      <c r="E39" s="23">
        <v>37</v>
      </c>
      <c r="F39" s="23">
        <v>977</v>
      </c>
      <c r="G39" s="23">
        <v>36149</v>
      </c>
      <c r="H39" s="24">
        <v>10168.261500189399</v>
      </c>
      <c r="I39" s="25">
        <f t="shared" si="0"/>
        <v>0.28128749066888153</v>
      </c>
      <c r="J39" s="22" t="str">
        <f t="shared" si="1"/>
        <v>Medium</v>
      </c>
    </row>
    <row r="40" spans="1:10" ht="15" customHeight="1" x14ac:dyDescent="0.35">
      <c r="A40" s="16">
        <v>45016</v>
      </c>
      <c r="B40" s="17" t="s">
        <v>24</v>
      </c>
      <c r="C40" s="17" t="s">
        <v>28</v>
      </c>
      <c r="D40" s="17" t="s">
        <v>23</v>
      </c>
      <c r="E40" s="18">
        <v>49</v>
      </c>
      <c r="F40" s="18">
        <v>544</v>
      </c>
      <c r="G40" s="18">
        <v>26656</v>
      </c>
      <c r="H40" s="19">
        <v>3407.9449225021199</v>
      </c>
      <c r="I40" s="20">
        <f t="shared" si="0"/>
        <v>0.1278490742235189</v>
      </c>
      <c r="J40" s="17" t="str">
        <f t="shared" si="1"/>
        <v>Medium</v>
      </c>
    </row>
    <row r="41" spans="1:10" ht="15" customHeight="1" x14ac:dyDescent="0.35">
      <c r="A41" s="21">
        <v>45291</v>
      </c>
      <c r="B41" s="22" t="s">
        <v>29</v>
      </c>
      <c r="C41" s="22" t="s">
        <v>22</v>
      </c>
      <c r="D41" s="22" t="s">
        <v>31</v>
      </c>
      <c r="E41" s="23">
        <v>49</v>
      </c>
      <c r="F41" s="23">
        <v>841</v>
      </c>
      <c r="G41" s="23">
        <v>41209</v>
      </c>
      <c r="H41" s="24">
        <v>8509.0047791758807</v>
      </c>
      <c r="I41" s="25">
        <f t="shared" si="0"/>
        <v>0.20648413645504332</v>
      </c>
      <c r="J41" s="22" t="str">
        <f t="shared" si="1"/>
        <v>Medium</v>
      </c>
    </row>
    <row r="42" spans="1:10" ht="15" customHeight="1" x14ac:dyDescent="0.35">
      <c r="A42" s="16">
        <v>45138</v>
      </c>
      <c r="B42" s="17" t="s">
        <v>18</v>
      </c>
      <c r="C42" s="17" t="s">
        <v>30</v>
      </c>
      <c r="D42" s="17" t="s">
        <v>20</v>
      </c>
      <c r="E42" s="18">
        <v>44</v>
      </c>
      <c r="F42" s="18">
        <v>581</v>
      </c>
      <c r="G42" s="18">
        <v>25564</v>
      </c>
      <c r="H42" s="19">
        <v>4658.2495969768897</v>
      </c>
      <c r="I42" s="20">
        <f t="shared" si="0"/>
        <v>0.18221912052014119</v>
      </c>
      <c r="J42" s="17" t="str">
        <f t="shared" si="1"/>
        <v>Medium</v>
      </c>
    </row>
    <row r="43" spans="1:10" ht="15" customHeight="1" x14ac:dyDescent="0.35">
      <c r="A43" s="21">
        <v>45046</v>
      </c>
      <c r="B43" s="22" t="s">
        <v>26</v>
      </c>
      <c r="C43" s="22" t="s">
        <v>27</v>
      </c>
      <c r="D43" s="22" t="s">
        <v>21</v>
      </c>
      <c r="E43" s="23">
        <v>28</v>
      </c>
      <c r="F43" s="23">
        <v>889</v>
      </c>
      <c r="G43" s="23">
        <v>24892</v>
      </c>
      <c r="H43" s="24">
        <v>4218.4140154470197</v>
      </c>
      <c r="I43" s="25">
        <f t="shared" si="0"/>
        <v>0.16946866525176843</v>
      </c>
      <c r="J43" s="22" t="str">
        <f t="shared" si="1"/>
        <v>Medium</v>
      </c>
    </row>
    <row r="44" spans="1:10" ht="15" customHeight="1" x14ac:dyDescent="0.35">
      <c r="A44" s="16">
        <v>45199</v>
      </c>
      <c r="B44" s="17" t="s">
        <v>24</v>
      </c>
      <c r="C44" s="17" t="s">
        <v>22</v>
      </c>
      <c r="D44" s="17" t="s">
        <v>20</v>
      </c>
      <c r="E44" s="18">
        <v>47</v>
      </c>
      <c r="F44" s="18">
        <v>1476</v>
      </c>
      <c r="G44" s="18">
        <v>69372</v>
      </c>
      <c r="H44" s="19">
        <v>19421.8477714035</v>
      </c>
      <c r="I44" s="20">
        <f t="shared" si="0"/>
        <v>0.2799666691374546</v>
      </c>
      <c r="J44" s="17" t="str">
        <f t="shared" si="1"/>
        <v>High</v>
      </c>
    </row>
    <row r="45" spans="1:10" ht="15" customHeight="1" x14ac:dyDescent="0.35">
      <c r="A45" s="21">
        <v>45016</v>
      </c>
      <c r="B45" s="22" t="s">
        <v>24</v>
      </c>
      <c r="C45" s="22" t="s">
        <v>22</v>
      </c>
      <c r="D45" s="22" t="s">
        <v>23</v>
      </c>
      <c r="E45" s="23">
        <v>15</v>
      </c>
      <c r="F45" s="23">
        <v>1279</v>
      </c>
      <c r="G45" s="23">
        <v>19185</v>
      </c>
      <c r="H45" s="24">
        <v>2002.23637342755</v>
      </c>
      <c r="I45" s="25">
        <f t="shared" si="0"/>
        <v>0.10436467935509773</v>
      </c>
      <c r="J45" s="22" t="str">
        <f t="shared" si="1"/>
        <v>Low</v>
      </c>
    </row>
    <row r="46" spans="1:10" ht="15" customHeight="1" x14ac:dyDescent="0.35">
      <c r="A46" s="16">
        <v>45077</v>
      </c>
      <c r="B46" s="17" t="s">
        <v>24</v>
      </c>
      <c r="C46" s="17" t="s">
        <v>19</v>
      </c>
      <c r="D46" s="17" t="s">
        <v>21</v>
      </c>
      <c r="E46" s="18">
        <v>6</v>
      </c>
      <c r="F46" s="18">
        <v>1686</v>
      </c>
      <c r="G46" s="18">
        <v>10116</v>
      </c>
      <c r="H46" s="19">
        <v>2354.5792930704501</v>
      </c>
      <c r="I46" s="20">
        <f t="shared" si="0"/>
        <v>0.23275793723511765</v>
      </c>
      <c r="J46" s="17" t="str">
        <f t="shared" si="1"/>
        <v>Low</v>
      </c>
    </row>
    <row r="47" spans="1:10" ht="15" customHeight="1" x14ac:dyDescent="0.35">
      <c r="A47" s="21">
        <v>45016</v>
      </c>
      <c r="B47" s="22" t="s">
        <v>29</v>
      </c>
      <c r="C47" s="22" t="s">
        <v>28</v>
      </c>
      <c r="D47" s="22" t="s">
        <v>25</v>
      </c>
      <c r="E47" s="23">
        <v>44</v>
      </c>
      <c r="F47" s="23">
        <v>656</v>
      </c>
      <c r="G47" s="23">
        <v>28864</v>
      </c>
      <c r="H47" s="24">
        <v>8447.8833898279809</v>
      </c>
      <c r="I47" s="25">
        <f t="shared" si="0"/>
        <v>0.29267888684270998</v>
      </c>
      <c r="J47" s="22" t="str">
        <f t="shared" si="1"/>
        <v>Medium</v>
      </c>
    </row>
    <row r="48" spans="1:10" ht="15" customHeight="1" x14ac:dyDescent="0.35">
      <c r="A48" s="16">
        <v>45138</v>
      </c>
      <c r="B48" s="17" t="s">
        <v>24</v>
      </c>
      <c r="C48" s="17" t="s">
        <v>27</v>
      </c>
      <c r="D48" s="17" t="s">
        <v>20</v>
      </c>
      <c r="E48" s="18">
        <v>20</v>
      </c>
      <c r="F48" s="18">
        <v>1182</v>
      </c>
      <c r="G48" s="18">
        <v>23640</v>
      </c>
      <c r="H48" s="19">
        <v>5012.4751714075901</v>
      </c>
      <c r="I48" s="20">
        <f t="shared" si="0"/>
        <v>0.21203363669236844</v>
      </c>
      <c r="J48" s="17" t="str">
        <f t="shared" si="1"/>
        <v>Medium</v>
      </c>
    </row>
    <row r="49" spans="1:10" ht="15" customHeight="1" x14ac:dyDescent="0.35">
      <c r="A49" s="21">
        <v>45077</v>
      </c>
      <c r="B49" s="22" t="s">
        <v>24</v>
      </c>
      <c r="C49" s="22" t="s">
        <v>30</v>
      </c>
      <c r="D49" s="22" t="s">
        <v>21</v>
      </c>
      <c r="E49" s="23">
        <v>14</v>
      </c>
      <c r="F49" s="23">
        <v>282</v>
      </c>
      <c r="G49" s="23">
        <v>3948</v>
      </c>
      <c r="H49" s="24">
        <v>1134.51501602133</v>
      </c>
      <c r="I49" s="25">
        <f t="shared" si="0"/>
        <v>0.28736449240661854</v>
      </c>
      <c r="J49" s="22" t="str">
        <f t="shared" si="1"/>
        <v>Low</v>
      </c>
    </row>
    <row r="50" spans="1:10" ht="15" customHeight="1" x14ac:dyDescent="0.35">
      <c r="A50" s="16">
        <v>45199</v>
      </c>
      <c r="B50" s="17" t="s">
        <v>24</v>
      </c>
      <c r="C50" s="17" t="s">
        <v>27</v>
      </c>
      <c r="D50" s="17" t="s">
        <v>20</v>
      </c>
      <c r="E50" s="18">
        <v>2</v>
      </c>
      <c r="F50" s="18">
        <v>1322</v>
      </c>
      <c r="G50" s="18">
        <v>2644</v>
      </c>
      <c r="H50" s="19">
        <v>292.03396656644901</v>
      </c>
      <c r="I50" s="20">
        <f t="shared" si="0"/>
        <v>0.11045157585720462</v>
      </c>
      <c r="J50" s="17" t="str">
        <f t="shared" si="1"/>
        <v>Low</v>
      </c>
    </row>
    <row r="51" spans="1:10" ht="15" customHeight="1" x14ac:dyDescent="0.35">
      <c r="A51" s="21">
        <v>45138</v>
      </c>
      <c r="B51" s="22" t="s">
        <v>18</v>
      </c>
      <c r="C51" s="22" t="s">
        <v>30</v>
      </c>
      <c r="D51" s="22" t="s">
        <v>21</v>
      </c>
      <c r="E51" s="23">
        <v>9</v>
      </c>
      <c r="F51" s="23">
        <v>348</v>
      </c>
      <c r="G51" s="23">
        <v>3132</v>
      </c>
      <c r="H51" s="24">
        <v>575.53213506805503</v>
      </c>
      <c r="I51" s="25">
        <f t="shared" si="0"/>
        <v>0.18375866381483238</v>
      </c>
      <c r="J51" s="22" t="str">
        <f t="shared" si="1"/>
        <v>Low</v>
      </c>
    </row>
    <row r="52" spans="1:10" ht="15" customHeight="1" x14ac:dyDescent="0.35">
      <c r="A52" s="16">
        <v>44985</v>
      </c>
      <c r="B52" s="17" t="s">
        <v>29</v>
      </c>
      <c r="C52" s="17" t="s">
        <v>28</v>
      </c>
      <c r="D52" s="17" t="s">
        <v>31</v>
      </c>
      <c r="E52" s="18">
        <v>37</v>
      </c>
      <c r="F52" s="18">
        <v>1552</v>
      </c>
      <c r="G52" s="18">
        <v>57424</v>
      </c>
      <c r="H52" s="19">
        <v>8730.2601976409696</v>
      </c>
      <c r="I52" s="20">
        <f t="shared" si="0"/>
        <v>0.15203155819241032</v>
      </c>
      <c r="J52" s="17" t="str">
        <f t="shared" si="1"/>
        <v>High</v>
      </c>
    </row>
    <row r="53" spans="1:10" ht="15" customHeight="1" x14ac:dyDescent="0.35">
      <c r="A53" s="21">
        <v>45046</v>
      </c>
      <c r="B53" s="22" t="s">
        <v>24</v>
      </c>
      <c r="C53" s="22" t="s">
        <v>30</v>
      </c>
      <c r="D53" s="22" t="s">
        <v>20</v>
      </c>
      <c r="E53" s="23">
        <v>20</v>
      </c>
      <c r="F53" s="23">
        <v>1379</v>
      </c>
      <c r="G53" s="23">
        <v>27580</v>
      </c>
      <c r="H53" s="24">
        <v>6789.2084428337103</v>
      </c>
      <c r="I53" s="25">
        <f t="shared" si="0"/>
        <v>0.24616419299614614</v>
      </c>
      <c r="J53" s="22" t="str">
        <f t="shared" si="1"/>
        <v>Medium</v>
      </c>
    </row>
    <row r="54" spans="1:10" ht="15" customHeight="1" x14ac:dyDescent="0.35">
      <c r="A54" s="16">
        <v>45199</v>
      </c>
      <c r="B54" s="17" t="s">
        <v>26</v>
      </c>
      <c r="C54" s="17" t="s">
        <v>19</v>
      </c>
      <c r="D54" s="17" t="s">
        <v>25</v>
      </c>
      <c r="E54" s="18">
        <v>26</v>
      </c>
      <c r="F54" s="18">
        <v>389</v>
      </c>
      <c r="G54" s="18">
        <v>10114</v>
      </c>
      <c r="H54" s="19">
        <v>2996.3677546578301</v>
      </c>
      <c r="I54" s="20">
        <f t="shared" si="0"/>
        <v>0.29625941809944928</v>
      </c>
      <c r="J54" s="17" t="str">
        <f t="shared" si="1"/>
        <v>Low</v>
      </c>
    </row>
    <row r="55" spans="1:10" ht="15" customHeight="1" x14ac:dyDescent="0.35">
      <c r="A55" s="21">
        <v>45291</v>
      </c>
      <c r="B55" s="22" t="s">
        <v>26</v>
      </c>
      <c r="C55" s="22" t="s">
        <v>19</v>
      </c>
      <c r="D55" s="22" t="s">
        <v>25</v>
      </c>
      <c r="E55" s="23">
        <v>29</v>
      </c>
      <c r="F55" s="23">
        <v>1717</v>
      </c>
      <c r="G55" s="23">
        <v>49793</v>
      </c>
      <c r="H55" s="24">
        <v>7533.98027985729</v>
      </c>
      <c r="I55" s="25">
        <f t="shared" si="0"/>
        <v>0.15130601248884964</v>
      </c>
      <c r="J55" s="22" t="str">
        <f t="shared" si="1"/>
        <v>Medium</v>
      </c>
    </row>
    <row r="56" spans="1:10" ht="15" customHeight="1" x14ac:dyDescent="0.35">
      <c r="A56" s="16">
        <v>44985</v>
      </c>
      <c r="B56" s="17" t="s">
        <v>26</v>
      </c>
      <c r="C56" s="17" t="s">
        <v>19</v>
      </c>
      <c r="D56" s="17" t="s">
        <v>23</v>
      </c>
      <c r="E56" s="18">
        <v>1</v>
      </c>
      <c r="F56" s="18">
        <v>1082</v>
      </c>
      <c r="G56" s="18">
        <v>1082</v>
      </c>
      <c r="H56" s="19">
        <v>249.76338375898999</v>
      </c>
      <c r="I56" s="20">
        <f t="shared" si="0"/>
        <v>0.23083492029481514</v>
      </c>
      <c r="J56" s="17" t="str">
        <f t="shared" si="1"/>
        <v>Low</v>
      </c>
    </row>
    <row r="57" spans="1:10" ht="15" customHeight="1" x14ac:dyDescent="0.35">
      <c r="A57" s="21">
        <v>45230</v>
      </c>
      <c r="B57" s="22" t="s">
        <v>29</v>
      </c>
      <c r="C57" s="22" t="s">
        <v>19</v>
      </c>
      <c r="D57" s="22" t="s">
        <v>21</v>
      </c>
      <c r="E57" s="23">
        <v>35</v>
      </c>
      <c r="F57" s="23">
        <v>462</v>
      </c>
      <c r="G57" s="23">
        <v>16170</v>
      </c>
      <c r="H57" s="24">
        <v>2257.6477443449999</v>
      </c>
      <c r="I57" s="25">
        <f t="shared" si="0"/>
        <v>0.13961952655194804</v>
      </c>
      <c r="J57" s="22" t="str">
        <f t="shared" si="1"/>
        <v>Low</v>
      </c>
    </row>
    <row r="58" spans="1:10" ht="15" customHeight="1" x14ac:dyDescent="0.35">
      <c r="A58" s="16">
        <v>45199</v>
      </c>
      <c r="B58" s="17" t="s">
        <v>29</v>
      </c>
      <c r="C58" s="17" t="s">
        <v>27</v>
      </c>
      <c r="D58" s="17" t="s">
        <v>20</v>
      </c>
      <c r="E58" s="18">
        <v>6</v>
      </c>
      <c r="F58" s="18">
        <v>1303</v>
      </c>
      <c r="G58" s="18">
        <v>7818</v>
      </c>
      <c r="H58" s="19">
        <v>1665.75038604817</v>
      </c>
      <c r="I58" s="20">
        <f t="shared" si="0"/>
        <v>0.21306605091432207</v>
      </c>
      <c r="J58" s="17" t="str">
        <f t="shared" si="1"/>
        <v>Low</v>
      </c>
    </row>
    <row r="59" spans="1:10" ht="15" customHeight="1" x14ac:dyDescent="0.35">
      <c r="A59" s="21">
        <v>45230</v>
      </c>
      <c r="B59" s="22" t="s">
        <v>26</v>
      </c>
      <c r="C59" s="22" t="s">
        <v>28</v>
      </c>
      <c r="D59" s="22" t="s">
        <v>23</v>
      </c>
      <c r="E59" s="23">
        <v>37</v>
      </c>
      <c r="F59" s="23">
        <v>599</v>
      </c>
      <c r="G59" s="23">
        <v>22163</v>
      </c>
      <c r="H59" s="24">
        <v>4272.7271404947196</v>
      </c>
      <c r="I59" s="25">
        <f t="shared" si="0"/>
        <v>0.19278649733766726</v>
      </c>
      <c r="J59" s="22" t="str">
        <f t="shared" si="1"/>
        <v>Medium</v>
      </c>
    </row>
    <row r="60" spans="1:10" ht="15" customHeight="1" x14ac:dyDescent="0.35">
      <c r="A60" s="16">
        <v>45077</v>
      </c>
      <c r="B60" s="17" t="s">
        <v>24</v>
      </c>
      <c r="C60" s="17" t="s">
        <v>30</v>
      </c>
      <c r="D60" s="17" t="s">
        <v>20</v>
      </c>
      <c r="E60" s="18">
        <v>5</v>
      </c>
      <c r="F60" s="18">
        <v>963</v>
      </c>
      <c r="G60" s="18">
        <v>4815</v>
      </c>
      <c r="H60" s="19">
        <v>1417.5411324351701</v>
      </c>
      <c r="I60" s="20">
        <f t="shared" si="0"/>
        <v>0.29440106592630738</v>
      </c>
      <c r="J60" s="17" t="str">
        <f t="shared" si="1"/>
        <v>Low</v>
      </c>
    </row>
    <row r="61" spans="1:10" ht="15" customHeight="1" x14ac:dyDescent="0.35">
      <c r="A61" s="21">
        <v>44985</v>
      </c>
      <c r="B61" s="22" t="s">
        <v>29</v>
      </c>
      <c r="C61" s="22" t="s">
        <v>30</v>
      </c>
      <c r="D61" s="22" t="s">
        <v>21</v>
      </c>
      <c r="E61" s="23">
        <v>33</v>
      </c>
      <c r="F61" s="23">
        <v>808</v>
      </c>
      <c r="G61" s="23">
        <v>26664</v>
      </c>
      <c r="H61" s="24">
        <v>5911.5542398357202</v>
      </c>
      <c r="I61" s="25">
        <f t="shared" si="0"/>
        <v>0.22170545453929344</v>
      </c>
      <c r="J61" s="22" t="str">
        <f t="shared" si="1"/>
        <v>Medium</v>
      </c>
    </row>
    <row r="62" spans="1:10" ht="15" customHeight="1" x14ac:dyDescent="0.35">
      <c r="A62" s="16">
        <v>45046</v>
      </c>
      <c r="B62" s="17" t="s">
        <v>26</v>
      </c>
      <c r="C62" s="17" t="s">
        <v>19</v>
      </c>
      <c r="D62" s="17" t="s">
        <v>25</v>
      </c>
      <c r="E62" s="18">
        <v>49</v>
      </c>
      <c r="F62" s="18">
        <v>1483</v>
      </c>
      <c r="G62" s="18">
        <v>72667</v>
      </c>
      <c r="H62" s="19">
        <v>12346.2159080866</v>
      </c>
      <c r="I62" s="20">
        <f t="shared" si="0"/>
        <v>0.16990127441736413</v>
      </c>
      <c r="J62" s="17" t="str">
        <f t="shared" si="1"/>
        <v>High</v>
      </c>
    </row>
    <row r="63" spans="1:10" ht="15" customHeight="1" x14ac:dyDescent="0.35">
      <c r="A63" s="21">
        <v>45291</v>
      </c>
      <c r="B63" s="22" t="s">
        <v>26</v>
      </c>
      <c r="C63" s="22" t="s">
        <v>19</v>
      </c>
      <c r="D63" s="22" t="s">
        <v>31</v>
      </c>
      <c r="E63" s="23">
        <v>14</v>
      </c>
      <c r="F63" s="23">
        <v>1995</v>
      </c>
      <c r="G63" s="23">
        <v>27930</v>
      </c>
      <c r="H63" s="24">
        <v>3430.3390543840001</v>
      </c>
      <c r="I63" s="25">
        <f t="shared" si="0"/>
        <v>0.12281915697758683</v>
      </c>
      <c r="J63" s="22" t="str">
        <f t="shared" si="1"/>
        <v>Medium</v>
      </c>
    </row>
    <row r="64" spans="1:10" ht="15" customHeight="1" x14ac:dyDescent="0.35">
      <c r="A64" s="16">
        <v>45291</v>
      </c>
      <c r="B64" s="17" t="s">
        <v>24</v>
      </c>
      <c r="C64" s="17" t="s">
        <v>22</v>
      </c>
      <c r="D64" s="17" t="s">
        <v>25</v>
      </c>
      <c r="E64" s="18">
        <v>12</v>
      </c>
      <c r="F64" s="18">
        <v>1838</v>
      </c>
      <c r="G64" s="18">
        <v>22056</v>
      </c>
      <c r="H64" s="19">
        <v>2872.7800109155401</v>
      </c>
      <c r="I64" s="20">
        <f t="shared" si="0"/>
        <v>0.13024936574698676</v>
      </c>
      <c r="J64" s="17" t="str">
        <f t="shared" si="1"/>
        <v>Medium</v>
      </c>
    </row>
    <row r="65" spans="1:10" ht="15" customHeight="1" x14ac:dyDescent="0.35">
      <c r="A65" s="21">
        <v>45138</v>
      </c>
      <c r="B65" s="22" t="s">
        <v>18</v>
      </c>
      <c r="C65" s="22" t="s">
        <v>28</v>
      </c>
      <c r="D65" s="22" t="s">
        <v>23</v>
      </c>
      <c r="E65" s="23">
        <v>42</v>
      </c>
      <c r="F65" s="23">
        <v>1775</v>
      </c>
      <c r="G65" s="23">
        <v>74550</v>
      </c>
      <c r="H65" s="24">
        <v>10814.4754255729</v>
      </c>
      <c r="I65" s="25">
        <f t="shared" si="0"/>
        <v>0.14506338599024682</v>
      </c>
      <c r="J65" s="22" t="str">
        <f t="shared" si="1"/>
        <v>High</v>
      </c>
    </row>
    <row r="66" spans="1:10" ht="15" customHeight="1" x14ac:dyDescent="0.35">
      <c r="A66" s="16">
        <v>45291</v>
      </c>
      <c r="B66" s="17" t="s">
        <v>29</v>
      </c>
      <c r="C66" s="17" t="s">
        <v>27</v>
      </c>
      <c r="D66" s="17" t="s">
        <v>31</v>
      </c>
      <c r="E66" s="18">
        <v>20</v>
      </c>
      <c r="F66" s="18">
        <v>984</v>
      </c>
      <c r="G66" s="18">
        <v>19680</v>
      </c>
      <c r="H66" s="19">
        <v>2955.8047790354099</v>
      </c>
      <c r="I66" s="20">
        <f t="shared" ref="I66:I129" si="2">IFERROR(H66/G66,0)</f>
        <v>0.15019333226805945</v>
      </c>
      <c r="J66" s="17" t="str">
        <f t="shared" ref="J66:J129" si="3">IF(G66&gt;=50000,"High",IF(G66&gt;=20000,"Medium","Low"))</f>
        <v>Low</v>
      </c>
    </row>
    <row r="67" spans="1:10" ht="15" customHeight="1" x14ac:dyDescent="0.35">
      <c r="A67" s="21">
        <v>45169</v>
      </c>
      <c r="B67" s="22" t="s">
        <v>24</v>
      </c>
      <c r="C67" s="22" t="s">
        <v>30</v>
      </c>
      <c r="D67" s="22" t="s">
        <v>23</v>
      </c>
      <c r="E67" s="23">
        <v>24</v>
      </c>
      <c r="F67" s="23">
        <v>300</v>
      </c>
      <c r="G67" s="23">
        <v>7200</v>
      </c>
      <c r="H67" s="24">
        <v>1944.88712329124</v>
      </c>
      <c r="I67" s="25">
        <f t="shared" si="2"/>
        <v>0.27012321156822777</v>
      </c>
      <c r="J67" s="22" t="str">
        <f t="shared" si="3"/>
        <v>Low</v>
      </c>
    </row>
    <row r="68" spans="1:10" ht="15" customHeight="1" x14ac:dyDescent="0.35">
      <c r="A68" s="16">
        <v>45016</v>
      </c>
      <c r="B68" s="17" t="s">
        <v>26</v>
      </c>
      <c r="C68" s="17" t="s">
        <v>22</v>
      </c>
      <c r="D68" s="17" t="s">
        <v>21</v>
      </c>
      <c r="E68" s="18">
        <v>43</v>
      </c>
      <c r="F68" s="18">
        <v>1582</v>
      </c>
      <c r="G68" s="18">
        <v>68026</v>
      </c>
      <c r="H68" s="19">
        <v>14438.1482791414</v>
      </c>
      <c r="I68" s="20">
        <f t="shared" si="2"/>
        <v>0.21224455765650488</v>
      </c>
      <c r="J68" s="17" t="str">
        <f t="shared" si="3"/>
        <v>High</v>
      </c>
    </row>
    <row r="69" spans="1:10" ht="15" customHeight="1" x14ac:dyDescent="0.35">
      <c r="A69" s="21">
        <v>44957</v>
      </c>
      <c r="B69" s="22" t="s">
        <v>26</v>
      </c>
      <c r="C69" s="22" t="s">
        <v>22</v>
      </c>
      <c r="D69" s="22" t="s">
        <v>31</v>
      </c>
      <c r="E69" s="23">
        <v>34</v>
      </c>
      <c r="F69" s="23">
        <v>1603</v>
      </c>
      <c r="G69" s="23">
        <v>54502</v>
      </c>
      <c r="H69" s="24">
        <v>11155.370290345099</v>
      </c>
      <c r="I69" s="25">
        <f t="shared" si="2"/>
        <v>0.20467818227487247</v>
      </c>
      <c r="J69" s="22" t="str">
        <f t="shared" si="3"/>
        <v>High</v>
      </c>
    </row>
    <row r="70" spans="1:10" ht="15" customHeight="1" x14ac:dyDescent="0.35">
      <c r="A70" s="16">
        <v>45046</v>
      </c>
      <c r="B70" s="17" t="s">
        <v>24</v>
      </c>
      <c r="C70" s="17" t="s">
        <v>30</v>
      </c>
      <c r="D70" s="17" t="s">
        <v>23</v>
      </c>
      <c r="E70" s="18">
        <v>25</v>
      </c>
      <c r="F70" s="18">
        <v>1019</v>
      </c>
      <c r="G70" s="18">
        <v>25475</v>
      </c>
      <c r="H70" s="19">
        <v>3132.2474021736598</v>
      </c>
      <c r="I70" s="20">
        <f t="shared" si="2"/>
        <v>0.12295377437384336</v>
      </c>
      <c r="J70" s="17" t="str">
        <f t="shared" si="3"/>
        <v>Medium</v>
      </c>
    </row>
    <row r="71" spans="1:10" ht="15" customHeight="1" x14ac:dyDescent="0.35">
      <c r="A71" s="21">
        <v>44985</v>
      </c>
      <c r="B71" s="22" t="s">
        <v>29</v>
      </c>
      <c r="C71" s="22" t="s">
        <v>27</v>
      </c>
      <c r="D71" s="22" t="s">
        <v>21</v>
      </c>
      <c r="E71" s="23">
        <v>29</v>
      </c>
      <c r="F71" s="23">
        <v>1444</v>
      </c>
      <c r="G71" s="23">
        <v>41876</v>
      </c>
      <c r="H71" s="24">
        <v>11391.441959740199</v>
      </c>
      <c r="I71" s="25">
        <f t="shared" si="2"/>
        <v>0.27202793866988728</v>
      </c>
      <c r="J71" s="22" t="str">
        <f t="shared" si="3"/>
        <v>Medium</v>
      </c>
    </row>
    <row r="72" spans="1:10" ht="15" customHeight="1" x14ac:dyDescent="0.35">
      <c r="A72" s="16">
        <v>45169</v>
      </c>
      <c r="B72" s="17" t="s">
        <v>18</v>
      </c>
      <c r="C72" s="17" t="s">
        <v>22</v>
      </c>
      <c r="D72" s="17" t="s">
        <v>25</v>
      </c>
      <c r="E72" s="18">
        <v>39</v>
      </c>
      <c r="F72" s="18">
        <v>1019</v>
      </c>
      <c r="G72" s="18">
        <v>39741</v>
      </c>
      <c r="H72" s="19">
        <v>9719.1726447616693</v>
      </c>
      <c r="I72" s="20">
        <f t="shared" si="2"/>
        <v>0.24456286064169672</v>
      </c>
      <c r="J72" s="17" t="str">
        <f t="shared" si="3"/>
        <v>Medium</v>
      </c>
    </row>
    <row r="73" spans="1:10" ht="15" customHeight="1" x14ac:dyDescent="0.35">
      <c r="A73" s="21">
        <v>45046</v>
      </c>
      <c r="B73" s="22" t="s">
        <v>18</v>
      </c>
      <c r="C73" s="22" t="s">
        <v>22</v>
      </c>
      <c r="D73" s="22" t="s">
        <v>21</v>
      </c>
      <c r="E73" s="23">
        <v>31</v>
      </c>
      <c r="F73" s="23">
        <v>619</v>
      </c>
      <c r="G73" s="23">
        <v>19189</v>
      </c>
      <c r="H73" s="24">
        <v>2178.59763929983</v>
      </c>
      <c r="I73" s="25">
        <f t="shared" si="2"/>
        <v>0.11353367238000052</v>
      </c>
      <c r="J73" s="22" t="str">
        <f t="shared" si="3"/>
        <v>Low</v>
      </c>
    </row>
    <row r="74" spans="1:10" ht="15" customHeight="1" x14ac:dyDescent="0.35">
      <c r="A74" s="16">
        <v>44985</v>
      </c>
      <c r="B74" s="17" t="s">
        <v>26</v>
      </c>
      <c r="C74" s="17" t="s">
        <v>28</v>
      </c>
      <c r="D74" s="17" t="s">
        <v>20</v>
      </c>
      <c r="E74" s="18">
        <v>47</v>
      </c>
      <c r="F74" s="18">
        <v>323</v>
      </c>
      <c r="G74" s="18">
        <v>15181</v>
      </c>
      <c r="H74" s="19">
        <v>3667.2289222090199</v>
      </c>
      <c r="I74" s="20">
        <f t="shared" si="2"/>
        <v>0.24156701944595349</v>
      </c>
      <c r="J74" s="17" t="str">
        <f t="shared" si="3"/>
        <v>Low</v>
      </c>
    </row>
    <row r="75" spans="1:10" ht="15" customHeight="1" x14ac:dyDescent="0.35">
      <c r="A75" s="21">
        <v>45107</v>
      </c>
      <c r="B75" s="22" t="s">
        <v>29</v>
      </c>
      <c r="C75" s="22" t="s">
        <v>27</v>
      </c>
      <c r="D75" s="22" t="s">
        <v>21</v>
      </c>
      <c r="E75" s="23">
        <v>43</v>
      </c>
      <c r="F75" s="23">
        <v>621</v>
      </c>
      <c r="G75" s="23">
        <v>26703</v>
      </c>
      <c r="H75" s="24">
        <v>5573.1202035401402</v>
      </c>
      <c r="I75" s="25">
        <f t="shared" si="2"/>
        <v>0.20870764346852938</v>
      </c>
      <c r="J75" s="22" t="str">
        <f t="shared" si="3"/>
        <v>Medium</v>
      </c>
    </row>
    <row r="76" spans="1:10" ht="15" customHeight="1" x14ac:dyDescent="0.35">
      <c r="A76" s="16">
        <v>45107</v>
      </c>
      <c r="B76" s="17" t="s">
        <v>18</v>
      </c>
      <c r="C76" s="17" t="s">
        <v>22</v>
      </c>
      <c r="D76" s="17" t="s">
        <v>21</v>
      </c>
      <c r="E76" s="18">
        <v>23</v>
      </c>
      <c r="F76" s="18">
        <v>1454</v>
      </c>
      <c r="G76" s="18">
        <v>33442</v>
      </c>
      <c r="H76" s="19">
        <v>3890.8118024927498</v>
      </c>
      <c r="I76" s="20">
        <f t="shared" si="2"/>
        <v>0.11634506914935559</v>
      </c>
      <c r="J76" s="17" t="str">
        <f t="shared" si="3"/>
        <v>Medium</v>
      </c>
    </row>
    <row r="77" spans="1:10" ht="15" customHeight="1" x14ac:dyDescent="0.35">
      <c r="A77" s="21">
        <v>45230</v>
      </c>
      <c r="B77" s="22" t="s">
        <v>29</v>
      </c>
      <c r="C77" s="22" t="s">
        <v>27</v>
      </c>
      <c r="D77" s="22" t="s">
        <v>20</v>
      </c>
      <c r="E77" s="23">
        <v>44</v>
      </c>
      <c r="F77" s="23">
        <v>1913</v>
      </c>
      <c r="G77" s="23">
        <v>84172</v>
      </c>
      <c r="H77" s="24">
        <v>16132.41631975</v>
      </c>
      <c r="I77" s="25">
        <f t="shared" si="2"/>
        <v>0.19166012830573112</v>
      </c>
      <c r="J77" s="22" t="str">
        <f t="shared" si="3"/>
        <v>High</v>
      </c>
    </row>
    <row r="78" spans="1:10" ht="15" customHeight="1" x14ac:dyDescent="0.35">
      <c r="A78" s="16">
        <v>45046</v>
      </c>
      <c r="B78" s="17" t="s">
        <v>29</v>
      </c>
      <c r="C78" s="17" t="s">
        <v>30</v>
      </c>
      <c r="D78" s="17" t="s">
        <v>23</v>
      </c>
      <c r="E78" s="18">
        <v>38</v>
      </c>
      <c r="F78" s="18">
        <v>1286</v>
      </c>
      <c r="G78" s="18">
        <v>48868</v>
      </c>
      <c r="H78" s="19">
        <v>9624.0276318942306</v>
      </c>
      <c r="I78" s="20">
        <f t="shared" si="2"/>
        <v>0.19693925742600946</v>
      </c>
      <c r="J78" s="17" t="str">
        <f t="shared" si="3"/>
        <v>Medium</v>
      </c>
    </row>
    <row r="79" spans="1:10" ht="15" customHeight="1" x14ac:dyDescent="0.35">
      <c r="A79" s="21">
        <v>45107</v>
      </c>
      <c r="B79" s="22" t="s">
        <v>26</v>
      </c>
      <c r="C79" s="22" t="s">
        <v>19</v>
      </c>
      <c r="D79" s="22" t="s">
        <v>23</v>
      </c>
      <c r="E79" s="23">
        <v>20</v>
      </c>
      <c r="F79" s="23">
        <v>1708</v>
      </c>
      <c r="G79" s="23">
        <v>34160</v>
      </c>
      <c r="H79" s="24">
        <v>4548.5716583955</v>
      </c>
      <c r="I79" s="25">
        <f t="shared" si="2"/>
        <v>0.13315490803265514</v>
      </c>
      <c r="J79" s="22" t="str">
        <f t="shared" si="3"/>
        <v>Medium</v>
      </c>
    </row>
    <row r="80" spans="1:10" ht="15" customHeight="1" x14ac:dyDescent="0.35">
      <c r="A80" s="16">
        <v>44985</v>
      </c>
      <c r="B80" s="17" t="s">
        <v>18</v>
      </c>
      <c r="C80" s="17" t="s">
        <v>22</v>
      </c>
      <c r="D80" s="17" t="s">
        <v>21</v>
      </c>
      <c r="E80" s="18">
        <v>23</v>
      </c>
      <c r="F80" s="18">
        <v>1851</v>
      </c>
      <c r="G80" s="18">
        <v>42573</v>
      </c>
      <c r="H80" s="19">
        <v>12309.541442448601</v>
      </c>
      <c r="I80" s="20">
        <f t="shared" si="2"/>
        <v>0.28913962940005639</v>
      </c>
      <c r="J80" s="17" t="str">
        <f t="shared" si="3"/>
        <v>Medium</v>
      </c>
    </row>
    <row r="81" spans="1:10" ht="15" customHeight="1" x14ac:dyDescent="0.35">
      <c r="A81" s="21">
        <v>45230</v>
      </c>
      <c r="B81" s="22" t="s">
        <v>24</v>
      </c>
      <c r="C81" s="22" t="s">
        <v>28</v>
      </c>
      <c r="D81" s="22" t="s">
        <v>20</v>
      </c>
      <c r="E81" s="23">
        <v>45</v>
      </c>
      <c r="F81" s="23">
        <v>1926</v>
      </c>
      <c r="G81" s="23">
        <v>86670</v>
      </c>
      <c r="H81" s="24">
        <v>23400.473089245799</v>
      </c>
      <c r="I81" s="25">
        <f t="shared" si="2"/>
        <v>0.26999507429613245</v>
      </c>
      <c r="J81" s="22" t="str">
        <f t="shared" si="3"/>
        <v>High</v>
      </c>
    </row>
    <row r="82" spans="1:10" ht="15" customHeight="1" x14ac:dyDescent="0.35">
      <c r="A82" s="16">
        <v>45291</v>
      </c>
      <c r="B82" s="17" t="s">
        <v>26</v>
      </c>
      <c r="C82" s="17" t="s">
        <v>30</v>
      </c>
      <c r="D82" s="17" t="s">
        <v>20</v>
      </c>
      <c r="E82" s="18">
        <v>16</v>
      </c>
      <c r="F82" s="18">
        <v>1797</v>
      </c>
      <c r="G82" s="18">
        <v>28752</v>
      </c>
      <c r="H82" s="19">
        <v>6722.3460485773003</v>
      </c>
      <c r="I82" s="20">
        <f t="shared" si="2"/>
        <v>0.23380446746582151</v>
      </c>
      <c r="J82" s="17" t="str">
        <f t="shared" si="3"/>
        <v>Medium</v>
      </c>
    </row>
    <row r="83" spans="1:10" ht="15" customHeight="1" x14ac:dyDescent="0.35">
      <c r="A83" s="21">
        <v>44985</v>
      </c>
      <c r="B83" s="22" t="s">
        <v>18</v>
      </c>
      <c r="C83" s="22" t="s">
        <v>27</v>
      </c>
      <c r="D83" s="22" t="s">
        <v>25</v>
      </c>
      <c r="E83" s="23">
        <v>42</v>
      </c>
      <c r="F83" s="23">
        <v>967</v>
      </c>
      <c r="G83" s="23">
        <v>40614</v>
      </c>
      <c r="H83" s="24">
        <v>7816.5343828957302</v>
      </c>
      <c r="I83" s="25">
        <f t="shared" si="2"/>
        <v>0.19245911220012138</v>
      </c>
      <c r="J83" s="22" t="str">
        <f t="shared" si="3"/>
        <v>Medium</v>
      </c>
    </row>
    <row r="84" spans="1:10" ht="15" customHeight="1" x14ac:dyDescent="0.35">
      <c r="A84" s="16">
        <v>45230</v>
      </c>
      <c r="B84" s="17" t="s">
        <v>18</v>
      </c>
      <c r="C84" s="17" t="s">
        <v>30</v>
      </c>
      <c r="D84" s="17" t="s">
        <v>23</v>
      </c>
      <c r="E84" s="18">
        <v>8</v>
      </c>
      <c r="F84" s="18">
        <v>682</v>
      </c>
      <c r="G84" s="18">
        <v>5456</v>
      </c>
      <c r="H84" s="19">
        <v>994.918558977016</v>
      </c>
      <c r="I84" s="20">
        <f t="shared" si="2"/>
        <v>0.18235310831690177</v>
      </c>
      <c r="J84" s="17" t="str">
        <f t="shared" si="3"/>
        <v>Low</v>
      </c>
    </row>
    <row r="85" spans="1:10" ht="15" customHeight="1" x14ac:dyDescent="0.35">
      <c r="A85" s="21">
        <v>45046</v>
      </c>
      <c r="B85" s="22" t="s">
        <v>18</v>
      </c>
      <c r="C85" s="22" t="s">
        <v>22</v>
      </c>
      <c r="D85" s="22" t="s">
        <v>31</v>
      </c>
      <c r="E85" s="23">
        <v>21</v>
      </c>
      <c r="F85" s="23">
        <v>718</v>
      </c>
      <c r="G85" s="23">
        <v>15078</v>
      </c>
      <c r="H85" s="24">
        <v>3470.8755875404199</v>
      </c>
      <c r="I85" s="25">
        <f t="shared" si="2"/>
        <v>0.230194693430191</v>
      </c>
      <c r="J85" s="22" t="str">
        <f t="shared" si="3"/>
        <v>Low</v>
      </c>
    </row>
    <row r="86" spans="1:10" ht="15" customHeight="1" x14ac:dyDescent="0.35">
      <c r="A86" s="16">
        <v>45169</v>
      </c>
      <c r="B86" s="17" t="s">
        <v>18</v>
      </c>
      <c r="C86" s="17" t="s">
        <v>27</v>
      </c>
      <c r="D86" s="17" t="s">
        <v>23</v>
      </c>
      <c r="E86" s="18">
        <v>1</v>
      </c>
      <c r="F86" s="18">
        <v>354</v>
      </c>
      <c r="G86" s="18">
        <v>354</v>
      </c>
      <c r="H86" s="19">
        <v>74.016576354008905</v>
      </c>
      <c r="I86" s="20">
        <f t="shared" si="2"/>
        <v>0.2090863738813811</v>
      </c>
      <c r="J86" s="17" t="str">
        <f t="shared" si="3"/>
        <v>Low</v>
      </c>
    </row>
    <row r="87" spans="1:10" ht="15" customHeight="1" x14ac:dyDescent="0.35">
      <c r="A87" s="21">
        <v>45138</v>
      </c>
      <c r="B87" s="22" t="s">
        <v>18</v>
      </c>
      <c r="C87" s="22" t="s">
        <v>19</v>
      </c>
      <c r="D87" s="22" t="s">
        <v>23</v>
      </c>
      <c r="E87" s="23">
        <v>8</v>
      </c>
      <c r="F87" s="23">
        <v>291</v>
      </c>
      <c r="G87" s="23">
        <v>2328</v>
      </c>
      <c r="H87" s="24">
        <v>261.79435809860598</v>
      </c>
      <c r="I87" s="25">
        <f t="shared" si="2"/>
        <v>0.11245462117637714</v>
      </c>
      <c r="J87" s="22" t="str">
        <f t="shared" si="3"/>
        <v>Low</v>
      </c>
    </row>
    <row r="88" spans="1:10" ht="15" customHeight="1" x14ac:dyDescent="0.35">
      <c r="A88" s="16">
        <v>45291</v>
      </c>
      <c r="B88" s="17" t="s">
        <v>29</v>
      </c>
      <c r="C88" s="17" t="s">
        <v>30</v>
      </c>
      <c r="D88" s="17" t="s">
        <v>25</v>
      </c>
      <c r="E88" s="18">
        <v>29</v>
      </c>
      <c r="F88" s="18">
        <v>1181</v>
      </c>
      <c r="G88" s="18">
        <v>34249</v>
      </c>
      <c r="H88" s="19">
        <v>6935.44064354702</v>
      </c>
      <c r="I88" s="20">
        <f t="shared" si="2"/>
        <v>0.20250052975406641</v>
      </c>
      <c r="J88" s="17" t="str">
        <f t="shared" si="3"/>
        <v>Medium</v>
      </c>
    </row>
    <row r="89" spans="1:10" ht="15" customHeight="1" x14ac:dyDescent="0.35">
      <c r="A89" s="21">
        <v>45199</v>
      </c>
      <c r="B89" s="22" t="s">
        <v>26</v>
      </c>
      <c r="C89" s="22" t="s">
        <v>22</v>
      </c>
      <c r="D89" s="22" t="s">
        <v>31</v>
      </c>
      <c r="E89" s="23">
        <v>32</v>
      </c>
      <c r="F89" s="23">
        <v>1749</v>
      </c>
      <c r="G89" s="23">
        <v>55968</v>
      </c>
      <c r="H89" s="24">
        <v>14623.3595298575</v>
      </c>
      <c r="I89" s="25">
        <f t="shared" si="2"/>
        <v>0.26128072344656766</v>
      </c>
      <c r="J89" s="22" t="str">
        <f t="shared" si="3"/>
        <v>High</v>
      </c>
    </row>
    <row r="90" spans="1:10" ht="15" customHeight="1" x14ac:dyDescent="0.35">
      <c r="A90" s="16">
        <v>45169</v>
      </c>
      <c r="B90" s="17" t="s">
        <v>29</v>
      </c>
      <c r="C90" s="17" t="s">
        <v>28</v>
      </c>
      <c r="D90" s="17" t="s">
        <v>25</v>
      </c>
      <c r="E90" s="18">
        <v>38</v>
      </c>
      <c r="F90" s="18">
        <v>654</v>
      </c>
      <c r="G90" s="18">
        <v>24852</v>
      </c>
      <c r="H90" s="19">
        <v>4767.8058876079203</v>
      </c>
      <c r="I90" s="20">
        <f t="shared" si="2"/>
        <v>0.19184797551939162</v>
      </c>
      <c r="J90" s="17" t="str">
        <f t="shared" si="3"/>
        <v>Medium</v>
      </c>
    </row>
    <row r="91" spans="1:10" ht="15" customHeight="1" x14ac:dyDescent="0.35">
      <c r="A91" s="21">
        <v>45077</v>
      </c>
      <c r="B91" s="22" t="s">
        <v>24</v>
      </c>
      <c r="C91" s="22" t="s">
        <v>27</v>
      </c>
      <c r="D91" s="22" t="s">
        <v>31</v>
      </c>
      <c r="E91" s="23">
        <v>5</v>
      </c>
      <c r="F91" s="23">
        <v>1964</v>
      </c>
      <c r="G91" s="23">
        <v>9820</v>
      </c>
      <c r="H91" s="24">
        <v>1084.04271831658</v>
      </c>
      <c r="I91" s="25">
        <f t="shared" si="2"/>
        <v>0.11039131551085336</v>
      </c>
      <c r="J91" s="22" t="str">
        <f t="shared" si="3"/>
        <v>Low</v>
      </c>
    </row>
    <row r="92" spans="1:10" ht="15" customHeight="1" x14ac:dyDescent="0.35">
      <c r="A92" s="16">
        <v>44985</v>
      </c>
      <c r="B92" s="17" t="s">
        <v>18</v>
      </c>
      <c r="C92" s="17" t="s">
        <v>30</v>
      </c>
      <c r="D92" s="17" t="s">
        <v>21</v>
      </c>
      <c r="E92" s="18">
        <v>47</v>
      </c>
      <c r="F92" s="18">
        <v>797</v>
      </c>
      <c r="G92" s="18">
        <v>37459</v>
      </c>
      <c r="H92" s="19">
        <v>9636.5390141453008</v>
      </c>
      <c r="I92" s="20">
        <f t="shared" si="2"/>
        <v>0.25725563987680666</v>
      </c>
      <c r="J92" s="17" t="str">
        <f t="shared" si="3"/>
        <v>Medium</v>
      </c>
    </row>
    <row r="93" spans="1:10" ht="15" customHeight="1" x14ac:dyDescent="0.35">
      <c r="A93" s="21">
        <v>45077</v>
      </c>
      <c r="B93" s="22" t="s">
        <v>26</v>
      </c>
      <c r="C93" s="22" t="s">
        <v>30</v>
      </c>
      <c r="D93" s="22" t="s">
        <v>31</v>
      </c>
      <c r="E93" s="23">
        <v>22</v>
      </c>
      <c r="F93" s="23">
        <v>1868</v>
      </c>
      <c r="G93" s="23">
        <v>41096</v>
      </c>
      <c r="H93" s="24">
        <v>5764.6491981319996</v>
      </c>
      <c r="I93" s="25">
        <f t="shared" si="2"/>
        <v>0.14027275642719486</v>
      </c>
      <c r="J93" s="22" t="str">
        <f t="shared" si="3"/>
        <v>Medium</v>
      </c>
    </row>
    <row r="94" spans="1:10" ht="15" customHeight="1" x14ac:dyDescent="0.35">
      <c r="A94" s="16">
        <v>45169</v>
      </c>
      <c r="B94" s="17" t="s">
        <v>18</v>
      </c>
      <c r="C94" s="17" t="s">
        <v>19</v>
      </c>
      <c r="D94" s="17" t="s">
        <v>25</v>
      </c>
      <c r="E94" s="18">
        <v>47</v>
      </c>
      <c r="F94" s="18">
        <v>709</v>
      </c>
      <c r="G94" s="18">
        <v>33323</v>
      </c>
      <c r="H94" s="19">
        <v>5055.9044161948204</v>
      </c>
      <c r="I94" s="20">
        <f t="shared" si="2"/>
        <v>0.15172416697760768</v>
      </c>
      <c r="J94" s="17" t="str">
        <f t="shared" si="3"/>
        <v>Medium</v>
      </c>
    </row>
    <row r="95" spans="1:10" ht="15" customHeight="1" x14ac:dyDescent="0.35">
      <c r="A95" s="21">
        <v>45230</v>
      </c>
      <c r="B95" s="22" t="s">
        <v>26</v>
      </c>
      <c r="C95" s="22" t="s">
        <v>19</v>
      </c>
      <c r="D95" s="22" t="s">
        <v>23</v>
      </c>
      <c r="E95" s="23">
        <v>34</v>
      </c>
      <c r="F95" s="23">
        <v>1406</v>
      </c>
      <c r="G95" s="23">
        <v>47804</v>
      </c>
      <c r="H95" s="24">
        <v>6355.1245038954903</v>
      </c>
      <c r="I95" s="25">
        <f t="shared" si="2"/>
        <v>0.13294127068645908</v>
      </c>
      <c r="J95" s="22" t="str">
        <f t="shared" si="3"/>
        <v>Medium</v>
      </c>
    </row>
    <row r="96" spans="1:10" ht="15" customHeight="1" x14ac:dyDescent="0.35">
      <c r="A96" s="16">
        <v>45199</v>
      </c>
      <c r="B96" s="17" t="s">
        <v>29</v>
      </c>
      <c r="C96" s="17" t="s">
        <v>28</v>
      </c>
      <c r="D96" s="17" t="s">
        <v>31</v>
      </c>
      <c r="E96" s="18">
        <v>1</v>
      </c>
      <c r="F96" s="18">
        <v>585</v>
      </c>
      <c r="G96" s="18">
        <v>585</v>
      </c>
      <c r="H96" s="19">
        <v>97.135162589965205</v>
      </c>
      <c r="I96" s="20">
        <f t="shared" si="2"/>
        <v>0.16604301297429949</v>
      </c>
      <c r="J96" s="17" t="str">
        <f t="shared" si="3"/>
        <v>Low</v>
      </c>
    </row>
    <row r="97" spans="1:10" ht="15" customHeight="1" x14ac:dyDescent="0.35">
      <c r="A97" s="21">
        <v>45291</v>
      </c>
      <c r="B97" s="22" t="s">
        <v>26</v>
      </c>
      <c r="C97" s="22" t="s">
        <v>28</v>
      </c>
      <c r="D97" s="22" t="s">
        <v>31</v>
      </c>
      <c r="E97" s="23">
        <v>26</v>
      </c>
      <c r="F97" s="23">
        <v>1797</v>
      </c>
      <c r="G97" s="23">
        <v>46722</v>
      </c>
      <c r="H97" s="24">
        <v>11743.5887697569</v>
      </c>
      <c r="I97" s="25">
        <f t="shared" si="2"/>
        <v>0.25135030113772738</v>
      </c>
      <c r="J97" s="22" t="str">
        <f t="shared" si="3"/>
        <v>Medium</v>
      </c>
    </row>
    <row r="98" spans="1:10" ht="15" customHeight="1" x14ac:dyDescent="0.35">
      <c r="A98" s="16">
        <v>45291</v>
      </c>
      <c r="B98" s="17" t="s">
        <v>24</v>
      </c>
      <c r="C98" s="17" t="s">
        <v>22</v>
      </c>
      <c r="D98" s="17" t="s">
        <v>20</v>
      </c>
      <c r="E98" s="18">
        <v>43</v>
      </c>
      <c r="F98" s="18">
        <v>1954</v>
      </c>
      <c r="G98" s="18">
        <v>84022</v>
      </c>
      <c r="H98" s="19">
        <v>17130.167737447999</v>
      </c>
      <c r="I98" s="20">
        <f t="shared" si="2"/>
        <v>0.20387717190078788</v>
      </c>
      <c r="J98" s="17" t="str">
        <f t="shared" si="3"/>
        <v>High</v>
      </c>
    </row>
    <row r="99" spans="1:10" ht="15" customHeight="1" x14ac:dyDescent="0.35">
      <c r="A99" s="21">
        <v>45291</v>
      </c>
      <c r="B99" s="22" t="s">
        <v>24</v>
      </c>
      <c r="C99" s="22" t="s">
        <v>22</v>
      </c>
      <c r="D99" s="22" t="s">
        <v>23</v>
      </c>
      <c r="E99" s="23">
        <v>10</v>
      </c>
      <c r="F99" s="23">
        <v>604</v>
      </c>
      <c r="G99" s="23">
        <v>6040</v>
      </c>
      <c r="H99" s="24">
        <v>851.49657917406103</v>
      </c>
      <c r="I99" s="25">
        <f t="shared" si="2"/>
        <v>0.14097625483014256</v>
      </c>
      <c r="J99" s="22" t="str">
        <f t="shared" si="3"/>
        <v>Low</v>
      </c>
    </row>
    <row r="100" spans="1:10" ht="15" customHeight="1" x14ac:dyDescent="0.35">
      <c r="A100" s="16">
        <v>45199</v>
      </c>
      <c r="B100" s="17" t="s">
        <v>26</v>
      </c>
      <c r="C100" s="17" t="s">
        <v>28</v>
      </c>
      <c r="D100" s="17" t="s">
        <v>21</v>
      </c>
      <c r="E100" s="18">
        <v>30</v>
      </c>
      <c r="F100" s="18">
        <v>445</v>
      </c>
      <c r="G100" s="18">
        <v>13350</v>
      </c>
      <c r="H100" s="19">
        <v>3678.8063086659499</v>
      </c>
      <c r="I100" s="20">
        <f t="shared" si="2"/>
        <v>0.27556601563040822</v>
      </c>
      <c r="J100" s="17" t="str">
        <f t="shared" si="3"/>
        <v>Low</v>
      </c>
    </row>
    <row r="101" spans="1:10" ht="15" customHeight="1" x14ac:dyDescent="0.35">
      <c r="A101" s="21">
        <v>44957</v>
      </c>
      <c r="B101" s="22" t="s">
        <v>26</v>
      </c>
      <c r="C101" s="22" t="s">
        <v>28</v>
      </c>
      <c r="D101" s="22" t="s">
        <v>25</v>
      </c>
      <c r="E101" s="23">
        <v>18</v>
      </c>
      <c r="F101" s="23">
        <v>941</v>
      </c>
      <c r="G101" s="23">
        <v>16938</v>
      </c>
      <c r="H101" s="24">
        <v>4673.4714918338004</v>
      </c>
      <c r="I101" s="25">
        <f t="shared" si="2"/>
        <v>0.27591637099030586</v>
      </c>
      <c r="J101" s="22" t="str">
        <f t="shared" si="3"/>
        <v>Low</v>
      </c>
    </row>
    <row r="102" spans="1:10" ht="15" customHeight="1" x14ac:dyDescent="0.35">
      <c r="A102" s="16">
        <v>45199</v>
      </c>
      <c r="B102" s="17" t="s">
        <v>26</v>
      </c>
      <c r="C102" s="17" t="s">
        <v>27</v>
      </c>
      <c r="D102" s="17" t="s">
        <v>21</v>
      </c>
      <c r="E102" s="18">
        <v>17</v>
      </c>
      <c r="F102" s="18">
        <v>1814</v>
      </c>
      <c r="G102" s="18">
        <v>30838</v>
      </c>
      <c r="H102" s="19">
        <v>8453.1794943137502</v>
      </c>
      <c r="I102" s="20">
        <f t="shared" si="2"/>
        <v>0.2741156850092013</v>
      </c>
      <c r="J102" s="17" t="str">
        <f t="shared" si="3"/>
        <v>Medium</v>
      </c>
    </row>
    <row r="103" spans="1:10" ht="15" customHeight="1" x14ac:dyDescent="0.35">
      <c r="A103" s="21">
        <v>45138</v>
      </c>
      <c r="B103" s="22" t="s">
        <v>26</v>
      </c>
      <c r="C103" s="22" t="s">
        <v>19</v>
      </c>
      <c r="D103" s="22" t="s">
        <v>23</v>
      </c>
      <c r="E103" s="23">
        <v>26</v>
      </c>
      <c r="F103" s="23">
        <v>860</v>
      </c>
      <c r="G103" s="23">
        <v>22360</v>
      </c>
      <c r="H103" s="24">
        <v>3303.8966572982399</v>
      </c>
      <c r="I103" s="25">
        <f t="shared" si="2"/>
        <v>0.14775924227630768</v>
      </c>
      <c r="J103" s="22" t="str">
        <f t="shared" si="3"/>
        <v>Medium</v>
      </c>
    </row>
    <row r="104" spans="1:10" ht="15" customHeight="1" x14ac:dyDescent="0.35">
      <c r="A104" s="16">
        <v>45199</v>
      </c>
      <c r="B104" s="17" t="s">
        <v>24</v>
      </c>
      <c r="C104" s="17" t="s">
        <v>22</v>
      </c>
      <c r="D104" s="17" t="s">
        <v>31</v>
      </c>
      <c r="E104" s="18">
        <v>8</v>
      </c>
      <c r="F104" s="18">
        <v>849</v>
      </c>
      <c r="G104" s="18">
        <v>6792</v>
      </c>
      <c r="H104" s="19">
        <v>1292.1635251354501</v>
      </c>
      <c r="I104" s="20">
        <f t="shared" si="2"/>
        <v>0.19024786883619701</v>
      </c>
      <c r="J104" s="17" t="str">
        <f t="shared" si="3"/>
        <v>Low</v>
      </c>
    </row>
    <row r="105" spans="1:10" ht="15" customHeight="1" x14ac:dyDescent="0.35">
      <c r="A105" s="21">
        <v>45169</v>
      </c>
      <c r="B105" s="22" t="s">
        <v>18</v>
      </c>
      <c r="C105" s="22" t="s">
        <v>19</v>
      </c>
      <c r="D105" s="22" t="s">
        <v>31</v>
      </c>
      <c r="E105" s="23">
        <v>47</v>
      </c>
      <c r="F105" s="23">
        <v>1694</v>
      </c>
      <c r="G105" s="23">
        <v>79618</v>
      </c>
      <c r="H105" s="24">
        <v>23646.381288524801</v>
      </c>
      <c r="I105" s="25">
        <f t="shared" si="2"/>
        <v>0.29699793122817453</v>
      </c>
      <c r="J105" s="22" t="str">
        <f t="shared" si="3"/>
        <v>High</v>
      </c>
    </row>
    <row r="106" spans="1:10" ht="15" customHeight="1" x14ac:dyDescent="0.35">
      <c r="A106" s="16">
        <v>44957</v>
      </c>
      <c r="B106" s="17" t="s">
        <v>26</v>
      </c>
      <c r="C106" s="17" t="s">
        <v>19</v>
      </c>
      <c r="D106" s="17" t="s">
        <v>23</v>
      </c>
      <c r="E106" s="18">
        <v>40</v>
      </c>
      <c r="F106" s="18">
        <v>1646</v>
      </c>
      <c r="G106" s="18">
        <v>65840</v>
      </c>
      <c r="H106" s="19">
        <v>16749.86028805</v>
      </c>
      <c r="I106" s="20">
        <f t="shared" si="2"/>
        <v>0.25440249526199876</v>
      </c>
      <c r="J106" s="17" t="str">
        <f t="shared" si="3"/>
        <v>High</v>
      </c>
    </row>
    <row r="107" spans="1:10" ht="15" customHeight="1" x14ac:dyDescent="0.35">
      <c r="A107" s="21">
        <v>45291</v>
      </c>
      <c r="B107" s="22" t="s">
        <v>26</v>
      </c>
      <c r="C107" s="22" t="s">
        <v>28</v>
      </c>
      <c r="D107" s="22" t="s">
        <v>31</v>
      </c>
      <c r="E107" s="23">
        <v>49</v>
      </c>
      <c r="F107" s="23">
        <v>1100</v>
      </c>
      <c r="G107" s="23">
        <v>53900</v>
      </c>
      <c r="H107" s="24">
        <v>5682.8648008115397</v>
      </c>
      <c r="I107" s="25">
        <f t="shared" si="2"/>
        <v>0.10543348424511205</v>
      </c>
      <c r="J107" s="22" t="str">
        <f t="shared" si="3"/>
        <v>High</v>
      </c>
    </row>
    <row r="108" spans="1:10" ht="15" customHeight="1" x14ac:dyDescent="0.35">
      <c r="A108" s="16">
        <v>45169</v>
      </c>
      <c r="B108" s="17" t="s">
        <v>24</v>
      </c>
      <c r="C108" s="17" t="s">
        <v>27</v>
      </c>
      <c r="D108" s="17" t="s">
        <v>31</v>
      </c>
      <c r="E108" s="18">
        <v>12</v>
      </c>
      <c r="F108" s="18">
        <v>264</v>
      </c>
      <c r="G108" s="18">
        <v>3168</v>
      </c>
      <c r="H108" s="19">
        <v>358.11362902264801</v>
      </c>
      <c r="I108" s="20">
        <f t="shared" si="2"/>
        <v>0.11304091825209849</v>
      </c>
      <c r="J108" s="17" t="str">
        <f t="shared" si="3"/>
        <v>Low</v>
      </c>
    </row>
    <row r="109" spans="1:10" ht="15" customHeight="1" x14ac:dyDescent="0.35">
      <c r="A109" s="21">
        <v>45169</v>
      </c>
      <c r="B109" s="22" t="s">
        <v>24</v>
      </c>
      <c r="C109" s="22" t="s">
        <v>30</v>
      </c>
      <c r="D109" s="22" t="s">
        <v>31</v>
      </c>
      <c r="E109" s="23">
        <v>27</v>
      </c>
      <c r="F109" s="23">
        <v>1236</v>
      </c>
      <c r="G109" s="23">
        <v>33372</v>
      </c>
      <c r="H109" s="24">
        <v>6433.6635813962303</v>
      </c>
      <c r="I109" s="25">
        <f t="shared" si="2"/>
        <v>0.19278627536246645</v>
      </c>
      <c r="J109" s="22" t="str">
        <f t="shared" si="3"/>
        <v>Medium</v>
      </c>
    </row>
    <row r="110" spans="1:10" ht="15" customHeight="1" x14ac:dyDescent="0.35">
      <c r="A110" s="16">
        <v>45260</v>
      </c>
      <c r="B110" s="17" t="s">
        <v>29</v>
      </c>
      <c r="C110" s="17" t="s">
        <v>27</v>
      </c>
      <c r="D110" s="17" t="s">
        <v>25</v>
      </c>
      <c r="E110" s="18">
        <v>8</v>
      </c>
      <c r="F110" s="18">
        <v>412</v>
      </c>
      <c r="G110" s="18">
        <v>3296</v>
      </c>
      <c r="H110" s="19">
        <v>928.95795970393999</v>
      </c>
      <c r="I110" s="20">
        <f t="shared" si="2"/>
        <v>0.28184404117231188</v>
      </c>
      <c r="J110" s="17" t="str">
        <f t="shared" si="3"/>
        <v>Low</v>
      </c>
    </row>
    <row r="111" spans="1:10" ht="15" customHeight="1" x14ac:dyDescent="0.35">
      <c r="A111" s="21">
        <v>45016</v>
      </c>
      <c r="B111" s="22" t="s">
        <v>26</v>
      </c>
      <c r="C111" s="22" t="s">
        <v>27</v>
      </c>
      <c r="D111" s="22" t="s">
        <v>25</v>
      </c>
      <c r="E111" s="23">
        <v>25</v>
      </c>
      <c r="F111" s="23">
        <v>441</v>
      </c>
      <c r="G111" s="23">
        <v>11025</v>
      </c>
      <c r="H111" s="24">
        <v>2290.3374644857299</v>
      </c>
      <c r="I111" s="25">
        <f t="shared" si="2"/>
        <v>0.20774035959054241</v>
      </c>
      <c r="J111" s="22" t="str">
        <f t="shared" si="3"/>
        <v>Low</v>
      </c>
    </row>
    <row r="112" spans="1:10" ht="15" customHeight="1" x14ac:dyDescent="0.35">
      <c r="A112" s="16">
        <v>44957</v>
      </c>
      <c r="B112" s="17" t="s">
        <v>29</v>
      </c>
      <c r="C112" s="17" t="s">
        <v>19</v>
      </c>
      <c r="D112" s="17" t="s">
        <v>20</v>
      </c>
      <c r="E112" s="18">
        <v>46</v>
      </c>
      <c r="F112" s="18">
        <v>692</v>
      </c>
      <c r="G112" s="18">
        <v>31832</v>
      </c>
      <c r="H112" s="19">
        <v>6352.4735511495101</v>
      </c>
      <c r="I112" s="20">
        <f t="shared" si="2"/>
        <v>0.19956250160685821</v>
      </c>
      <c r="J112" s="17" t="str">
        <f t="shared" si="3"/>
        <v>Medium</v>
      </c>
    </row>
    <row r="113" spans="1:10" ht="15" customHeight="1" x14ac:dyDescent="0.35">
      <c r="A113" s="21">
        <v>45169</v>
      </c>
      <c r="B113" s="22" t="s">
        <v>24</v>
      </c>
      <c r="C113" s="22" t="s">
        <v>27</v>
      </c>
      <c r="D113" s="22" t="s">
        <v>21</v>
      </c>
      <c r="E113" s="23">
        <v>4</v>
      </c>
      <c r="F113" s="23">
        <v>1436</v>
      </c>
      <c r="G113" s="23">
        <v>5744</v>
      </c>
      <c r="H113" s="24">
        <v>695.56818651017704</v>
      </c>
      <c r="I113" s="25">
        <f t="shared" si="2"/>
        <v>0.12109473999132608</v>
      </c>
      <c r="J113" s="22" t="str">
        <f t="shared" si="3"/>
        <v>Low</v>
      </c>
    </row>
    <row r="114" spans="1:10" ht="15" customHeight="1" x14ac:dyDescent="0.35">
      <c r="A114" s="16">
        <v>45016</v>
      </c>
      <c r="B114" s="17" t="s">
        <v>24</v>
      </c>
      <c r="C114" s="17" t="s">
        <v>22</v>
      </c>
      <c r="D114" s="17" t="s">
        <v>23</v>
      </c>
      <c r="E114" s="18">
        <v>33</v>
      </c>
      <c r="F114" s="18">
        <v>1916</v>
      </c>
      <c r="G114" s="18">
        <v>63228</v>
      </c>
      <c r="H114" s="19">
        <v>14628.1784923015</v>
      </c>
      <c r="I114" s="20">
        <f t="shared" si="2"/>
        <v>0.2313560209448583</v>
      </c>
      <c r="J114" s="17" t="str">
        <f t="shared" si="3"/>
        <v>High</v>
      </c>
    </row>
    <row r="115" spans="1:10" ht="15" customHeight="1" x14ac:dyDescent="0.35">
      <c r="A115" s="21">
        <v>45016</v>
      </c>
      <c r="B115" s="22" t="s">
        <v>18</v>
      </c>
      <c r="C115" s="22" t="s">
        <v>19</v>
      </c>
      <c r="D115" s="22" t="s">
        <v>23</v>
      </c>
      <c r="E115" s="23">
        <v>1</v>
      </c>
      <c r="F115" s="23">
        <v>537</v>
      </c>
      <c r="G115" s="23">
        <v>537</v>
      </c>
      <c r="H115" s="24">
        <v>141.99387944846401</v>
      </c>
      <c r="I115" s="25">
        <f t="shared" si="2"/>
        <v>0.26442063212004474</v>
      </c>
      <c r="J115" s="22" t="str">
        <f t="shared" si="3"/>
        <v>Low</v>
      </c>
    </row>
    <row r="116" spans="1:10" ht="15" customHeight="1" x14ac:dyDescent="0.35">
      <c r="A116" s="16">
        <v>44957</v>
      </c>
      <c r="B116" s="17" t="s">
        <v>26</v>
      </c>
      <c r="C116" s="17" t="s">
        <v>22</v>
      </c>
      <c r="D116" s="17" t="s">
        <v>23</v>
      </c>
      <c r="E116" s="18">
        <v>19</v>
      </c>
      <c r="F116" s="18">
        <v>372</v>
      </c>
      <c r="G116" s="18">
        <v>7068</v>
      </c>
      <c r="H116" s="19">
        <v>1244.5617226126899</v>
      </c>
      <c r="I116" s="20">
        <f t="shared" si="2"/>
        <v>0.17608400150151243</v>
      </c>
      <c r="J116" s="17" t="str">
        <f t="shared" si="3"/>
        <v>Low</v>
      </c>
    </row>
    <row r="117" spans="1:10" ht="15" customHeight="1" x14ac:dyDescent="0.35">
      <c r="A117" s="21">
        <v>45260</v>
      </c>
      <c r="B117" s="22" t="s">
        <v>29</v>
      </c>
      <c r="C117" s="22" t="s">
        <v>30</v>
      </c>
      <c r="D117" s="22" t="s">
        <v>20</v>
      </c>
      <c r="E117" s="23">
        <v>31</v>
      </c>
      <c r="F117" s="23">
        <v>871</v>
      </c>
      <c r="G117" s="23">
        <v>27001</v>
      </c>
      <c r="H117" s="24">
        <v>6888.55911736695</v>
      </c>
      <c r="I117" s="25">
        <f t="shared" si="2"/>
        <v>0.25512237018506539</v>
      </c>
      <c r="J117" s="22" t="str">
        <f t="shared" si="3"/>
        <v>Medium</v>
      </c>
    </row>
    <row r="118" spans="1:10" ht="15" customHeight="1" x14ac:dyDescent="0.35">
      <c r="A118" s="16">
        <v>45077</v>
      </c>
      <c r="B118" s="17" t="s">
        <v>24</v>
      </c>
      <c r="C118" s="17" t="s">
        <v>19</v>
      </c>
      <c r="D118" s="17" t="s">
        <v>25</v>
      </c>
      <c r="E118" s="18">
        <v>16</v>
      </c>
      <c r="F118" s="18">
        <v>363</v>
      </c>
      <c r="G118" s="18">
        <v>5808</v>
      </c>
      <c r="H118" s="19">
        <v>1701.13608117118</v>
      </c>
      <c r="I118" s="20">
        <f t="shared" si="2"/>
        <v>0.29289533078016183</v>
      </c>
      <c r="J118" s="17" t="str">
        <f t="shared" si="3"/>
        <v>Low</v>
      </c>
    </row>
    <row r="119" spans="1:10" ht="15" customHeight="1" x14ac:dyDescent="0.35">
      <c r="A119" s="21">
        <v>45230</v>
      </c>
      <c r="B119" s="22" t="s">
        <v>24</v>
      </c>
      <c r="C119" s="22" t="s">
        <v>30</v>
      </c>
      <c r="D119" s="22" t="s">
        <v>20</v>
      </c>
      <c r="E119" s="23">
        <v>14</v>
      </c>
      <c r="F119" s="23">
        <v>664</v>
      </c>
      <c r="G119" s="23">
        <v>9296</v>
      </c>
      <c r="H119" s="24">
        <v>1308.4426008102</v>
      </c>
      <c r="I119" s="25">
        <f t="shared" si="2"/>
        <v>0.14075329182553786</v>
      </c>
      <c r="J119" s="22" t="str">
        <f t="shared" si="3"/>
        <v>Low</v>
      </c>
    </row>
    <row r="120" spans="1:10" ht="15" customHeight="1" x14ac:dyDescent="0.35">
      <c r="A120" s="16">
        <v>45138</v>
      </c>
      <c r="B120" s="17" t="s">
        <v>29</v>
      </c>
      <c r="C120" s="17" t="s">
        <v>19</v>
      </c>
      <c r="D120" s="17" t="s">
        <v>23</v>
      </c>
      <c r="E120" s="18">
        <v>48</v>
      </c>
      <c r="F120" s="18">
        <v>1194</v>
      </c>
      <c r="G120" s="18">
        <v>57312</v>
      </c>
      <c r="H120" s="19">
        <v>11729.8135646066</v>
      </c>
      <c r="I120" s="20">
        <f t="shared" si="2"/>
        <v>0.20466592623894822</v>
      </c>
      <c r="J120" s="17" t="str">
        <f t="shared" si="3"/>
        <v>High</v>
      </c>
    </row>
    <row r="121" spans="1:10" ht="15" customHeight="1" x14ac:dyDescent="0.35">
      <c r="A121" s="21">
        <v>45230</v>
      </c>
      <c r="B121" s="22" t="s">
        <v>18</v>
      </c>
      <c r="C121" s="22" t="s">
        <v>28</v>
      </c>
      <c r="D121" s="22" t="s">
        <v>21</v>
      </c>
      <c r="E121" s="23">
        <v>5</v>
      </c>
      <c r="F121" s="23">
        <v>696</v>
      </c>
      <c r="G121" s="23">
        <v>3480</v>
      </c>
      <c r="H121" s="24">
        <v>547.84801882686497</v>
      </c>
      <c r="I121" s="25">
        <f t="shared" si="2"/>
        <v>0.15742759161691522</v>
      </c>
      <c r="J121" s="22" t="str">
        <f t="shared" si="3"/>
        <v>Low</v>
      </c>
    </row>
    <row r="122" spans="1:10" ht="15" customHeight="1" x14ac:dyDescent="0.35">
      <c r="A122" s="16">
        <v>45199</v>
      </c>
      <c r="B122" s="17" t="s">
        <v>24</v>
      </c>
      <c r="C122" s="17" t="s">
        <v>27</v>
      </c>
      <c r="D122" s="17" t="s">
        <v>31</v>
      </c>
      <c r="E122" s="18">
        <v>41</v>
      </c>
      <c r="F122" s="18">
        <v>899</v>
      </c>
      <c r="G122" s="18">
        <v>36859</v>
      </c>
      <c r="H122" s="19">
        <v>9530.6642062336596</v>
      </c>
      <c r="I122" s="20">
        <f t="shared" si="2"/>
        <v>0.25857088380676796</v>
      </c>
      <c r="J122" s="17" t="str">
        <f t="shared" si="3"/>
        <v>Medium</v>
      </c>
    </row>
    <row r="123" spans="1:10" ht="15" customHeight="1" x14ac:dyDescent="0.35">
      <c r="A123" s="21">
        <v>45291</v>
      </c>
      <c r="B123" s="22" t="s">
        <v>26</v>
      </c>
      <c r="C123" s="22" t="s">
        <v>28</v>
      </c>
      <c r="D123" s="22" t="s">
        <v>25</v>
      </c>
      <c r="E123" s="23">
        <v>26</v>
      </c>
      <c r="F123" s="23">
        <v>594</v>
      </c>
      <c r="G123" s="23">
        <v>15444</v>
      </c>
      <c r="H123" s="24">
        <v>3328.4703885337199</v>
      </c>
      <c r="I123" s="25">
        <f t="shared" si="2"/>
        <v>0.21551867317623155</v>
      </c>
      <c r="J123" s="22" t="str">
        <f t="shared" si="3"/>
        <v>Low</v>
      </c>
    </row>
    <row r="124" spans="1:10" ht="15" customHeight="1" x14ac:dyDescent="0.35">
      <c r="A124" s="16">
        <v>45138</v>
      </c>
      <c r="B124" s="17" t="s">
        <v>24</v>
      </c>
      <c r="C124" s="17" t="s">
        <v>30</v>
      </c>
      <c r="D124" s="17" t="s">
        <v>25</v>
      </c>
      <c r="E124" s="18">
        <v>28</v>
      </c>
      <c r="F124" s="18">
        <v>902</v>
      </c>
      <c r="G124" s="18">
        <v>25256</v>
      </c>
      <c r="H124" s="19">
        <v>5731.0027075300904</v>
      </c>
      <c r="I124" s="20">
        <f t="shared" si="2"/>
        <v>0.22691648351006061</v>
      </c>
      <c r="J124" s="17" t="str">
        <f t="shared" si="3"/>
        <v>Medium</v>
      </c>
    </row>
    <row r="125" spans="1:10" ht="15" customHeight="1" x14ac:dyDescent="0.35">
      <c r="A125" s="21">
        <v>45199</v>
      </c>
      <c r="B125" s="22" t="s">
        <v>26</v>
      </c>
      <c r="C125" s="22" t="s">
        <v>27</v>
      </c>
      <c r="D125" s="22" t="s">
        <v>20</v>
      </c>
      <c r="E125" s="23">
        <v>2</v>
      </c>
      <c r="F125" s="23">
        <v>507</v>
      </c>
      <c r="G125" s="23">
        <v>1014</v>
      </c>
      <c r="H125" s="24">
        <v>263.216991570103</v>
      </c>
      <c r="I125" s="25">
        <f t="shared" si="2"/>
        <v>0.25958283192317849</v>
      </c>
      <c r="J125" s="22" t="str">
        <f t="shared" si="3"/>
        <v>Low</v>
      </c>
    </row>
    <row r="126" spans="1:10" ht="15" customHeight="1" x14ac:dyDescent="0.35">
      <c r="A126" s="16">
        <v>45169</v>
      </c>
      <c r="B126" s="17" t="s">
        <v>29</v>
      </c>
      <c r="C126" s="17" t="s">
        <v>19</v>
      </c>
      <c r="D126" s="17" t="s">
        <v>25</v>
      </c>
      <c r="E126" s="18">
        <v>6</v>
      </c>
      <c r="F126" s="18">
        <v>1991</v>
      </c>
      <c r="G126" s="18">
        <v>11946</v>
      </c>
      <c r="H126" s="19">
        <v>2140.6526532851399</v>
      </c>
      <c r="I126" s="20">
        <f t="shared" si="2"/>
        <v>0.17919409453249119</v>
      </c>
      <c r="J126" s="17" t="str">
        <f t="shared" si="3"/>
        <v>Low</v>
      </c>
    </row>
    <row r="127" spans="1:10" ht="15" customHeight="1" x14ac:dyDescent="0.35">
      <c r="A127" s="21">
        <v>45291</v>
      </c>
      <c r="B127" s="22" t="s">
        <v>26</v>
      </c>
      <c r="C127" s="22" t="s">
        <v>27</v>
      </c>
      <c r="D127" s="22" t="s">
        <v>23</v>
      </c>
      <c r="E127" s="23">
        <v>9</v>
      </c>
      <c r="F127" s="23">
        <v>382</v>
      </c>
      <c r="G127" s="23">
        <v>3438</v>
      </c>
      <c r="H127" s="24">
        <v>973.01593103668301</v>
      </c>
      <c r="I127" s="25">
        <f t="shared" si="2"/>
        <v>0.28301801368140866</v>
      </c>
      <c r="J127" s="22" t="str">
        <f t="shared" si="3"/>
        <v>Low</v>
      </c>
    </row>
    <row r="128" spans="1:10" ht="15" customHeight="1" x14ac:dyDescent="0.35">
      <c r="A128" s="16">
        <v>44985</v>
      </c>
      <c r="B128" s="17" t="s">
        <v>29</v>
      </c>
      <c r="C128" s="17" t="s">
        <v>22</v>
      </c>
      <c r="D128" s="17" t="s">
        <v>23</v>
      </c>
      <c r="E128" s="18">
        <v>33</v>
      </c>
      <c r="F128" s="18">
        <v>828</v>
      </c>
      <c r="G128" s="18">
        <v>27324</v>
      </c>
      <c r="H128" s="19">
        <v>5645.2961537267101</v>
      </c>
      <c r="I128" s="20">
        <f t="shared" si="2"/>
        <v>0.20660577344922815</v>
      </c>
      <c r="J128" s="17" t="str">
        <f t="shared" si="3"/>
        <v>Medium</v>
      </c>
    </row>
    <row r="129" spans="1:10" ht="15" customHeight="1" x14ac:dyDescent="0.35">
      <c r="A129" s="21">
        <v>44957</v>
      </c>
      <c r="B129" s="22" t="s">
        <v>26</v>
      </c>
      <c r="C129" s="22" t="s">
        <v>27</v>
      </c>
      <c r="D129" s="22" t="s">
        <v>20</v>
      </c>
      <c r="E129" s="23">
        <v>41</v>
      </c>
      <c r="F129" s="23">
        <v>709</v>
      </c>
      <c r="G129" s="23">
        <v>29069</v>
      </c>
      <c r="H129" s="24">
        <v>3825.21774900015</v>
      </c>
      <c r="I129" s="25">
        <f t="shared" si="2"/>
        <v>0.13159096456706973</v>
      </c>
      <c r="J129" s="22" t="str">
        <f t="shared" si="3"/>
        <v>Medium</v>
      </c>
    </row>
    <row r="130" spans="1:10" ht="15" customHeight="1" x14ac:dyDescent="0.35">
      <c r="A130" s="16">
        <v>45138</v>
      </c>
      <c r="B130" s="17" t="s">
        <v>29</v>
      </c>
      <c r="C130" s="17" t="s">
        <v>22</v>
      </c>
      <c r="D130" s="17" t="s">
        <v>23</v>
      </c>
      <c r="E130" s="18">
        <v>25</v>
      </c>
      <c r="F130" s="18">
        <v>1931</v>
      </c>
      <c r="G130" s="18">
        <v>48275</v>
      </c>
      <c r="H130" s="19">
        <v>11546.405985919801</v>
      </c>
      <c r="I130" s="20">
        <f t="shared" ref="I130:I193" si="4">IFERROR(H130/G130,0)</f>
        <v>0.23917982363376075</v>
      </c>
      <c r="J130" s="17" t="str">
        <f t="shared" ref="J130:J193" si="5">IF(G130&gt;=50000,"High",IF(G130&gt;=20000,"Medium","Low"))</f>
        <v>Medium</v>
      </c>
    </row>
    <row r="131" spans="1:10" ht="15" customHeight="1" x14ac:dyDescent="0.35">
      <c r="A131" s="21">
        <v>45138</v>
      </c>
      <c r="B131" s="22" t="s">
        <v>26</v>
      </c>
      <c r="C131" s="22" t="s">
        <v>27</v>
      </c>
      <c r="D131" s="22" t="s">
        <v>21</v>
      </c>
      <c r="E131" s="23">
        <v>48</v>
      </c>
      <c r="F131" s="23">
        <v>745</v>
      </c>
      <c r="G131" s="23">
        <v>35760</v>
      </c>
      <c r="H131" s="24">
        <v>9249.4051783344003</v>
      </c>
      <c r="I131" s="25">
        <f t="shared" si="4"/>
        <v>0.25865227008765102</v>
      </c>
      <c r="J131" s="22" t="str">
        <f t="shared" si="5"/>
        <v>Medium</v>
      </c>
    </row>
    <row r="132" spans="1:10" ht="15" customHeight="1" x14ac:dyDescent="0.35">
      <c r="A132" s="16">
        <v>45169</v>
      </c>
      <c r="B132" s="17" t="s">
        <v>18</v>
      </c>
      <c r="C132" s="17" t="s">
        <v>22</v>
      </c>
      <c r="D132" s="17" t="s">
        <v>20</v>
      </c>
      <c r="E132" s="18">
        <v>13</v>
      </c>
      <c r="F132" s="18">
        <v>1787</v>
      </c>
      <c r="G132" s="18">
        <v>23231</v>
      </c>
      <c r="H132" s="19">
        <v>3794.8381039911401</v>
      </c>
      <c r="I132" s="20">
        <f t="shared" si="4"/>
        <v>0.16335233541350525</v>
      </c>
      <c r="J132" s="17" t="str">
        <f t="shared" si="5"/>
        <v>Medium</v>
      </c>
    </row>
    <row r="133" spans="1:10" ht="15" customHeight="1" x14ac:dyDescent="0.35">
      <c r="A133" s="21">
        <v>45077</v>
      </c>
      <c r="B133" s="22" t="s">
        <v>26</v>
      </c>
      <c r="C133" s="22" t="s">
        <v>30</v>
      </c>
      <c r="D133" s="22" t="s">
        <v>21</v>
      </c>
      <c r="E133" s="23">
        <v>9</v>
      </c>
      <c r="F133" s="23">
        <v>823</v>
      </c>
      <c r="G133" s="23">
        <v>7407</v>
      </c>
      <c r="H133" s="24">
        <v>2010.52535131795</v>
      </c>
      <c r="I133" s="25">
        <f t="shared" si="4"/>
        <v>0.27143585139975024</v>
      </c>
      <c r="J133" s="22" t="str">
        <f t="shared" si="5"/>
        <v>Low</v>
      </c>
    </row>
    <row r="134" spans="1:10" ht="15" customHeight="1" x14ac:dyDescent="0.35">
      <c r="A134" s="16">
        <v>45016</v>
      </c>
      <c r="B134" s="17" t="s">
        <v>26</v>
      </c>
      <c r="C134" s="17" t="s">
        <v>28</v>
      </c>
      <c r="D134" s="17" t="s">
        <v>31</v>
      </c>
      <c r="E134" s="18">
        <v>13</v>
      </c>
      <c r="F134" s="18">
        <v>1987</v>
      </c>
      <c r="G134" s="18">
        <v>25831</v>
      </c>
      <c r="H134" s="19">
        <v>7264.4172827708999</v>
      </c>
      <c r="I134" s="20">
        <f t="shared" si="4"/>
        <v>0.28122865095315319</v>
      </c>
      <c r="J134" s="17" t="str">
        <f t="shared" si="5"/>
        <v>Medium</v>
      </c>
    </row>
    <row r="135" spans="1:10" ht="15" customHeight="1" x14ac:dyDescent="0.35">
      <c r="A135" s="21">
        <v>45291</v>
      </c>
      <c r="B135" s="22" t="s">
        <v>18</v>
      </c>
      <c r="C135" s="22" t="s">
        <v>19</v>
      </c>
      <c r="D135" s="22" t="s">
        <v>21</v>
      </c>
      <c r="E135" s="23">
        <v>31</v>
      </c>
      <c r="F135" s="23">
        <v>793</v>
      </c>
      <c r="G135" s="23">
        <v>24583</v>
      </c>
      <c r="H135" s="24">
        <v>3819.7286026417401</v>
      </c>
      <c r="I135" s="25">
        <f t="shared" si="4"/>
        <v>0.15538089747556197</v>
      </c>
      <c r="J135" s="22" t="str">
        <f t="shared" si="5"/>
        <v>Medium</v>
      </c>
    </row>
    <row r="136" spans="1:10" ht="15" customHeight="1" x14ac:dyDescent="0.35">
      <c r="A136" s="16">
        <v>45169</v>
      </c>
      <c r="B136" s="17" t="s">
        <v>24</v>
      </c>
      <c r="C136" s="17" t="s">
        <v>27</v>
      </c>
      <c r="D136" s="17" t="s">
        <v>31</v>
      </c>
      <c r="E136" s="18">
        <v>41</v>
      </c>
      <c r="F136" s="18">
        <v>943</v>
      </c>
      <c r="G136" s="18">
        <v>38663</v>
      </c>
      <c r="H136" s="19">
        <v>11471.478139917701</v>
      </c>
      <c r="I136" s="20">
        <f t="shared" si="4"/>
        <v>0.29670429454304376</v>
      </c>
      <c r="J136" s="17" t="str">
        <f t="shared" si="5"/>
        <v>Medium</v>
      </c>
    </row>
    <row r="137" spans="1:10" ht="15" customHeight="1" x14ac:dyDescent="0.35">
      <c r="A137" s="21">
        <v>45107</v>
      </c>
      <c r="B137" s="22" t="s">
        <v>24</v>
      </c>
      <c r="C137" s="22" t="s">
        <v>28</v>
      </c>
      <c r="D137" s="22" t="s">
        <v>31</v>
      </c>
      <c r="E137" s="23">
        <v>11</v>
      </c>
      <c r="F137" s="23">
        <v>1450</v>
      </c>
      <c r="G137" s="23">
        <v>15950</v>
      </c>
      <c r="H137" s="24">
        <v>2043.86977447554</v>
      </c>
      <c r="I137" s="25">
        <f t="shared" si="4"/>
        <v>0.12814230560975173</v>
      </c>
      <c r="J137" s="22" t="str">
        <f t="shared" si="5"/>
        <v>Low</v>
      </c>
    </row>
    <row r="138" spans="1:10" ht="15" customHeight="1" x14ac:dyDescent="0.35">
      <c r="A138" s="16">
        <v>45260</v>
      </c>
      <c r="B138" s="17" t="s">
        <v>26</v>
      </c>
      <c r="C138" s="17" t="s">
        <v>19</v>
      </c>
      <c r="D138" s="17" t="s">
        <v>21</v>
      </c>
      <c r="E138" s="18">
        <v>4</v>
      </c>
      <c r="F138" s="18">
        <v>1968</v>
      </c>
      <c r="G138" s="18">
        <v>7872</v>
      </c>
      <c r="H138" s="19">
        <v>1105.2534683328799</v>
      </c>
      <c r="I138" s="20">
        <f t="shared" si="4"/>
        <v>0.14040313368049795</v>
      </c>
      <c r="J138" s="17" t="str">
        <f t="shared" si="5"/>
        <v>Low</v>
      </c>
    </row>
    <row r="139" spans="1:10" ht="15" customHeight="1" x14ac:dyDescent="0.35">
      <c r="A139" s="21">
        <v>45016</v>
      </c>
      <c r="B139" s="22" t="s">
        <v>18</v>
      </c>
      <c r="C139" s="22" t="s">
        <v>19</v>
      </c>
      <c r="D139" s="22" t="s">
        <v>20</v>
      </c>
      <c r="E139" s="23">
        <v>34</v>
      </c>
      <c r="F139" s="23">
        <v>1956</v>
      </c>
      <c r="G139" s="23">
        <v>66504</v>
      </c>
      <c r="H139" s="24">
        <v>9100.7377417371408</v>
      </c>
      <c r="I139" s="25">
        <f t="shared" si="4"/>
        <v>0.13684496784760528</v>
      </c>
      <c r="J139" s="22" t="str">
        <f t="shared" si="5"/>
        <v>High</v>
      </c>
    </row>
    <row r="140" spans="1:10" ht="15" customHeight="1" x14ac:dyDescent="0.35">
      <c r="A140" s="16">
        <v>44957</v>
      </c>
      <c r="B140" s="17" t="s">
        <v>26</v>
      </c>
      <c r="C140" s="17" t="s">
        <v>22</v>
      </c>
      <c r="D140" s="17" t="s">
        <v>23</v>
      </c>
      <c r="E140" s="18">
        <v>38</v>
      </c>
      <c r="F140" s="18">
        <v>1659</v>
      </c>
      <c r="G140" s="18">
        <v>63042</v>
      </c>
      <c r="H140" s="19">
        <v>17575.979859663199</v>
      </c>
      <c r="I140" s="20">
        <f t="shared" si="4"/>
        <v>0.27879794200157354</v>
      </c>
      <c r="J140" s="17" t="str">
        <f t="shared" si="5"/>
        <v>High</v>
      </c>
    </row>
    <row r="141" spans="1:10" ht="15" customHeight="1" x14ac:dyDescent="0.35">
      <c r="A141" s="21">
        <v>45016</v>
      </c>
      <c r="B141" s="22" t="s">
        <v>29</v>
      </c>
      <c r="C141" s="22" t="s">
        <v>30</v>
      </c>
      <c r="D141" s="22" t="s">
        <v>23</v>
      </c>
      <c r="E141" s="23">
        <v>46</v>
      </c>
      <c r="F141" s="23">
        <v>1645</v>
      </c>
      <c r="G141" s="23">
        <v>75670</v>
      </c>
      <c r="H141" s="24">
        <v>17469.063486886</v>
      </c>
      <c r="I141" s="25">
        <f t="shared" si="4"/>
        <v>0.23085851046499273</v>
      </c>
      <c r="J141" s="22" t="str">
        <f t="shared" si="5"/>
        <v>High</v>
      </c>
    </row>
    <row r="142" spans="1:10" ht="15" customHeight="1" x14ac:dyDescent="0.35">
      <c r="A142" s="16">
        <v>45077</v>
      </c>
      <c r="B142" s="17" t="s">
        <v>29</v>
      </c>
      <c r="C142" s="17" t="s">
        <v>30</v>
      </c>
      <c r="D142" s="17" t="s">
        <v>31</v>
      </c>
      <c r="E142" s="18">
        <v>4</v>
      </c>
      <c r="F142" s="18">
        <v>753</v>
      </c>
      <c r="G142" s="18">
        <v>3012</v>
      </c>
      <c r="H142" s="19">
        <v>392.82762021309702</v>
      </c>
      <c r="I142" s="20">
        <f t="shared" si="4"/>
        <v>0.13042085664445452</v>
      </c>
      <c r="J142" s="17" t="str">
        <f t="shared" si="5"/>
        <v>Low</v>
      </c>
    </row>
    <row r="143" spans="1:10" ht="15" customHeight="1" x14ac:dyDescent="0.35">
      <c r="A143" s="21">
        <v>45016</v>
      </c>
      <c r="B143" s="22" t="s">
        <v>26</v>
      </c>
      <c r="C143" s="22" t="s">
        <v>28</v>
      </c>
      <c r="D143" s="22" t="s">
        <v>31</v>
      </c>
      <c r="E143" s="23">
        <v>38</v>
      </c>
      <c r="F143" s="23">
        <v>220</v>
      </c>
      <c r="G143" s="23">
        <v>8360</v>
      </c>
      <c r="H143" s="24">
        <v>1572.22075551188</v>
      </c>
      <c r="I143" s="25">
        <f t="shared" si="4"/>
        <v>0.18806468367366985</v>
      </c>
      <c r="J143" s="22" t="str">
        <f t="shared" si="5"/>
        <v>Low</v>
      </c>
    </row>
    <row r="144" spans="1:10" ht="15" customHeight="1" x14ac:dyDescent="0.35">
      <c r="A144" s="16">
        <v>44957</v>
      </c>
      <c r="B144" s="17" t="s">
        <v>24</v>
      </c>
      <c r="C144" s="17" t="s">
        <v>30</v>
      </c>
      <c r="D144" s="17" t="s">
        <v>20</v>
      </c>
      <c r="E144" s="18">
        <v>19</v>
      </c>
      <c r="F144" s="18">
        <v>753</v>
      </c>
      <c r="G144" s="18">
        <v>14307</v>
      </c>
      <c r="H144" s="19">
        <v>3191.31376893473</v>
      </c>
      <c r="I144" s="20">
        <f t="shared" si="4"/>
        <v>0.2230596050139603</v>
      </c>
      <c r="J144" s="17" t="str">
        <f t="shared" si="5"/>
        <v>Low</v>
      </c>
    </row>
    <row r="145" spans="1:10" ht="15" customHeight="1" x14ac:dyDescent="0.35">
      <c r="A145" s="21">
        <v>45077</v>
      </c>
      <c r="B145" s="22" t="s">
        <v>24</v>
      </c>
      <c r="C145" s="22" t="s">
        <v>27</v>
      </c>
      <c r="D145" s="22" t="s">
        <v>25</v>
      </c>
      <c r="E145" s="23">
        <v>6</v>
      </c>
      <c r="F145" s="23">
        <v>596</v>
      </c>
      <c r="G145" s="23">
        <v>3576</v>
      </c>
      <c r="H145" s="24">
        <v>417.29351358440698</v>
      </c>
      <c r="I145" s="25">
        <f t="shared" si="4"/>
        <v>0.11669281699787667</v>
      </c>
      <c r="J145" s="22" t="str">
        <f t="shared" si="5"/>
        <v>Low</v>
      </c>
    </row>
    <row r="146" spans="1:10" ht="15" customHeight="1" x14ac:dyDescent="0.35">
      <c r="A146" s="16">
        <v>45230</v>
      </c>
      <c r="B146" s="17" t="s">
        <v>26</v>
      </c>
      <c r="C146" s="17" t="s">
        <v>30</v>
      </c>
      <c r="D146" s="17" t="s">
        <v>21</v>
      </c>
      <c r="E146" s="18">
        <v>34</v>
      </c>
      <c r="F146" s="18">
        <v>824</v>
      </c>
      <c r="G146" s="18">
        <v>28016</v>
      </c>
      <c r="H146" s="19">
        <v>7745.9553954599996</v>
      </c>
      <c r="I146" s="20">
        <f t="shared" si="4"/>
        <v>0.27648327368146774</v>
      </c>
      <c r="J146" s="17" t="str">
        <f t="shared" si="5"/>
        <v>Medium</v>
      </c>
    </row>
    <row r="147" spans="1:10" ht="15" customHeight="1" x14ac:dyDescent="0.35">
      <c r="A147" s="21">
        <v>45138</v>
      </c>
      <c r="B147" s="22" t="s">
        <v>26</v>
      </c>
      <c r="C147" s="22" t="s">
        <v>28</v>
      </c>
      <c r="D147" s="22" t="s">
        <v>31</v>
      </c>
      <c r="E147" s="23">
        <v>18</v>
      </c>
      <c r="F147" s="23">
        <v>304</v>
      </c>
      <c r="G147" s="23">
        <v>5472</v>
      </c>
      <c r="H147" s="24">
        <v>1426.6637091872201</v>
      </c>
      <c r="I147" s="25">
        <f t="shared" si="4"/>
        <v>0.26072070708830775</v>
      </c>
      <c r="J147" s="22" t="str">
        <f t="shared" si="5"/>
        <v>Low</v>
      </c>
    </row>
    <row r="148" spans="1:10" ht="15" customHeight="1" x14ac:dyDescent="0.35">
      <c r="A148" s="16">
        <v>45138</v>
      </c>
      <c r="B148" s="17" t="s">
        <v>29</v>
      </c>
      <c r="C148" s="17" t="s">
        <v>30</v>
      </c>
      <c r="D148" s="17" t="s">
        <v>23</v>
      </c>
      <c r="E148" s="18">
        <v>13</v>
      </c>
      <c r="F148" s="18">
        <v>391</v>
      </c>
      <c r="G148" s="18">
        <v>5083</v>
      </c>
      <c r="H148" s="19">
        <v>1021.89320601801</v>
      </c>
      <c r="I148" s="20">
        <f t="shared" si="4"/>
        <v>0.20104135471532755</v>
      </c>
      <c r="J148" s="17" t="str">
        <f t="shared" si="5"/>
        <v>Low</v>
      </c>
    </row>
    <row r="149" spans="1:10" ht="15" customHeight="1" x14ac:dyDescent="0.35">
      <c r="A149" s="21">
        <v>45260</v>
      </c>
      <c r="B149" s="22" t="s">
        <v>24</v>
      </c>
      <c r="C149" s="22" t="s">
        <v>27</v>
      </c>
      <c r="D149" s="22" t="s">
        <v>20</v>
      </c>
      <c r="E149" s="23">
        <v>41</v>
      </c>
      <c r="F149" s="23">
        <v>216</v>
      </c>
      <c r="G149" s="23">
        <v>8856</v>
      </c>
      <c r="H149" s="24">
        <v>2598.5746609470398</v>
      </c>
      <c r="I149" s="25">
        <f t="shared" si="4"/>
        <v>0.29342532305183378</v>
      </c>
      <c r="J149" s="22" t="str">
        <f t="shared" si="5"/>
        <v>Low</v>
      </c>
    </row>
    <row r="150" spans="1:10" ht="15" customHeight="1" x14ac:dyDescent="0.35">
      <c r="A150" s="16">
        <v>45199</v>
      </c>
      <c r="B150" s="17" t="s">
        <v>26</v>
      </c>
      <c r="C150" s="17" t="s">
        <v>22</v>
      </c>
      <c r="D150" s="17" t="s">
        <v>21</v>
      </c>
      <c r="E150" s="18">
        <v>23</v>
      </c>
      <c r="F150" s="18">
        <v>1343</v>
      </c>
      <c r="G150" s="18">
        <v>30889</v>
      </c>
      <c r="H150" s="19">
        <v>5669.7437777657096</v>
      </c>
      <c r="I150" s="20">
        <f t="shared" si="4"/>
        <v>0.18355219585501989</v>
      </c>
      <c r="J150" s="17" t="str">
        <f t="shared" si="5"/>
        <v>Medium</v>
      </c>
    </row>
    <row r="151" spans="1:10" ht="15" customHeight="1" x14ac:dyDescent="0.35">
      <c r="A151" s="21">
        <v>45230</v>
      </c>
      <c r="B151" s="22" t="s">
        <v>29</v>
      </c>
      <c r="C151" s="22" t="s">
        <v>28</v>
      </c>
      <c r="D151" s="22" t="s">
        <v>20</v>
      </c>
      <c r="E151" s="23">
        <v>19</v>
      </c>
      <c r="F151" s="23">
        <v>592</v>
      </c>
      <c r="G151" s="23">
        <v>11248</v>
      </c>
      <c r="H151" s="24">
        <v>3338.6545737045099</v>
      </c>
      <c r="I151" s="25">
        <f t="shared" si="4"/>
        <v>0.29682206380729997</v>
      </c>
      <c r="J151" s="22" t="str">
        <f t="shared" si="5"/>
        <v>Low</v>
      </c>
    </row>
    <row r="152" spans="1:10" ht="15" customHeight="1" x14ac:dyDescent="0.35">
      <c r="A152" s="16">
        <v>45230</v>
      </c>
      <c r="B152" s="17" t="s">
        <v>24</v>
      </c>
      <c r="C152" s="17" t="s">
        <v>22</v>
      </c>
      <c r="D152" s="17" t="s">
        <v>21</v>
      </c>
      <c r="E152" s="18">
        <v>45</v>
      </c>
      <c r="F152" s="18">
        <v>624</v>
      </c>
      <c r="G152" s="18">
        <v>28080</v>
      </c>
      <c r="H152" s="19">
        <v>6559.0387132811702</v>
      </c>
      <c r="I152" s="20">
        <f t="shared" si="4"/>
        <v>0.23358399976072544</v>
      </c>
      <c r="J152" s="17" t="str">
        <f t="shared" si="5"/>
        <v>Medium</v>
      </c>
    </row>
    <row r="153" spans="1:10" ht="15" customHeight="1" x14ac:dyDescent="0.35">
      <c r="A153" s="21">
        <v>45291</v>
      </c>
      <c r="B153" s="22" t="s">
        <v>18</v>
      </c>
      <c r="C153" s="22" t="s">
        <v>22</v>
      </c>
      <c r="D153" s="22" t="s">
        <v>21</v>
      </c>
      <c r="E153" s="23">
        <v>11</v>
      </c>
      <c r="F153" s="23">
        <v>328</v>
      </c>
      <c r="G153" s="23">
        <v>3608</v>
      </c>
      <c r="H153" s="24">
        <v>818.77879078004401</v>
      </c>
      <c r="I153" s="25">
        <f t="shared" si="4"/>
        <v>0.22693425465078826</v>
      </c>
      <c r="J153" s="22" t="str">
        <f t="shared" si="5"/>
        <v>Low</v>
      </c>
    </row>
    <row r="154" spans="1:10" ht="15" customHeight="1" x14ac:dyDescent="0.35">
      <c r="A154" s="16">
        <v>45016</v>
      </c>
      <c r="B154" s="17" t="s">
        <v>29</v>
      </c>
      <c r="C154" s="17" t="s">
        <v>22</v>
      </c>
      <c r="D154" s="17" t="s">
        <v>31</v>
      </c>
      <c r="E154" s="18">
        <v>1</v>
      </c>
      <c r="F154" s="18">
        <v>1353</v>
      </c>
      <c r="G154" s="18">
        <v>1353</v>
      </c>
      <c r="H154" s="19">
        <v>180.20739466703901</v>
      </c>
      <c r="I154" s="20">
        <f t="shared" si="4"/>
        <v>0.13319097905915669</v>
      </c>
      <c r="J154" s="17" t="str">
        <f t="shared" si="5"/>
        <v>Low</v>
      </c>
    </row>
    <row r="155" spans="1:10" ht="15" customHeight="1" x14ac:dyDescent="0.35">
      <c r="A155" s="21">
        <v>45138</v>
      </c>
      <c r="B155" s="22" t="s">
        <v>24</v>
      </c>
      <c r="C155" s="22" t="s">
        <v>19</v>
      </c>
      <c r="D155" s="22" t="s">
        <v>20</v>
      </c>
      <c r="E155" s="23">
        <v>24</v>
      </c>
      <c r="F155" s="23">
        <v>771</v>
      </c>
      <c r="G155" s="23">
        <v>18504</v>
      </c>
      <c r="H155" s="24">
        <v>5114.2382479338303</v>
      </c>
      <c r="I155" s="25">
        <f t="shared" si="4"/>
        <v>0.27638555166092899</v>
      </c>
      <c r="J155" s="22" t="str">
        <f t="shared" si="5"/>
        <v>Low</v>
      </c>
    </row>
    <row r="156" spans="1:10" ht="15" customHeight="1" x14ac:dyDescent="0.35">
      <c r="A156" s="16">
        <v>44957</v>
      </c>
      <c r="B156" s="17" t="s">
        <v>24</v>
      </c>
      <c r="C156" s="17" t="s">
        <v>19</v>
      </c>
      <c r="D156" s="17" t="s">
        <v>20</v>
      </c>
      <c r="E156" s="18">
        <v>7</v>
      </c>
      <c r="F156" s="18">
        <v>1783</v>
      </c>
      <c r="G156" s="18">
        <v>12481</v>
      </c>
      <c r="H156" s="19">
        <v>2315.19975898744</v>
      </c>
      <c r="I156" s="20">
        <f t="shared" si="4"/>
        <v>0.18549793758412306</v>
      </c>
      <c r="J156" s="17" t="str">
        <f t="shared" si="5"/>
        <v>Low</v>
      </c>
    </row>
    <row r="157" spans="1:10" ht="15" customHeight="1" x14ac:dyDescent="0.35">
      <c r="A157" s="21">
        <v>45046</v>
      </c>
      <c r="B157" s="22" t="s">
        <v>29</v>
      </c>
      <c r="C157" s="22" t="s">
        <v>22</v>
      </c>
      <c r="D157" s="22" t="s">
        <v>23</v>
      </c>
      <c r="E157" s="23">
        <v>25</v>
      </c>
      <c r="F157" s="23">
        <v>228</v>
      </c>
      <c r="G157" s="23">
        <v>5700</v>
      </c>
      <c r="H157" s="24">
        <v>754.94608259202698</v>
      </c>
      <c r="I157" s="25">
        <f t="shared" si="4"/>
        <v>0.13244668115649597</v>
      </c>
      <c r="J157" s="22" t="str">
        <f t="shared" si="5"/>
        <v>Low</v>
      </c>
    </row>
    <row r="158" spans="1:10" ht="15" customHeight="1" x14ac:dyDescent="0.35">
      <c r="A158" s="16">
        <v>45046</v>
      </c>
      <c r="B158" s="17" t="s">
        <v>18</v>
      </c>
      <c r="C158" s="17" t="s">
        <v>28</v>
      </c>
      <c r="D158" s="17" t="s">
        <v>23</v>
      </c>
      <c r="E158" s="18">
        <v>21</v>
      </c>
      <c r="F158" s="18">
        <v>1320</v>
      </c>
      <c r="G158" s="18">
        <v>27720</v>
      </c>
      <c r="H158" s="19">
        <v>2841.8960907456099</v>
      </c>
      <c r="I158" s="20">
        <f t="shared" si="4"/>
        <v>0.10252150399515188</v>
      </c>
      <c r="J158" s="17" t="str">
        <f t="shared" si="5"/>
        <v>Medium</v>
      </c>
    </row>
    <row r="159" spans="1:10" ht="15" customHeight="1" x14ac:dyDescent="0.35">
      <c r="A159" s="21">
        <v>45077</v>
      </c>
      <c r="B159" s="22" t="s">
        <v>29</v>
      </c>
      <c r="C159" s="22" t="s">
        <v>27</v>
      </c>
      <c r="D159" s="22" t="s">
        <v>31</v>
      </c>
      <c r="E159" s="23">
        <v>15</v>
      </c>
      <c r="F159" s="23">
        <v>1233</v>
      </c>
      <c r="G159" s="23">
        <v>18495</v>
      </c>
      <c r="H159" s="24">
        <v>3920.0362737783798</v>
      </c>
      <c r="I159" s="25">
        <f t="shared" si="4"/>
        <v>0.21195113672767665</v>
      </c>
      <c r="J159" s="22" t="str">
        <f t="shared" si="5"/>
        <v>Low</v>
      </c>
    </row>
    <row r="160" spans="1:10" ht="15" customHeight="1" x14ac:dyDescent="0.35">
      <c r="A160" s="16">
        <v>45138</v>
      </c>
      <c r="B160" s="17" t="s">
        <v>24</v>
      </c>
      <c r="C160" s="17" t="s">
        <v>27</v>
      </c>
      <c r="D160" s="17" t="s">
        <v>31</v>
      </c>
      <c r="E160" s="18">
        <v>1</v>
      </c>
      <c r="F160" s="18">
        <v>441</v>
      </c>
      <c r="G160" s="18">
        <v>441</v>
      </c>
      <c r="H160" s="19">
        <v>90.616646671220096</v>
      </c>
      <c r="I160" s="20">
        <f t="shared" si="4"/>
        <v>0.20547992442453536</v>
      </c>
      <c r="J160" s="17" t="str">
        <f t="shared" si="5"/>
        <v>Low</v>
      </c>
    </row>
    <row r="161" spans="1:10" ht="15" customHeight="1" x14ac:dyDescent="0.35">
      <c r="A161" s="21">
        <v>45138</v>
      </c>
      <c r="B161" s="22" t="s">
        <v>26</v>
      </c>
      <c r="C161" s="22" t="s">
        <v>30</v>
      </c>
      <c r="D161" s="22" t="s">
        <v>25</v>
      </c>
      <c r="E161" s="23">
        <v>12</v>
      </c>
      <c r="F161" s="23">
        <v>431</v>
      </c>
      <c r="G161" s="23">
        <v>5172</v>
      </c>
      <c r="H161" s="24">
        <v>1261.2993869786601</v>
      </c>
      <c r="I161" s="25">
        <f t="shared" si="4"/>
        <v>0.24387072447383218</v>
      </c>
      <c r="J161" s="22" t="str">
        <f t="shared" si="5"/>
        <v>Low</v>
      </c>
    </row>
    <row r="162" spans="1:10" ht="15" customHeight="1" x14ac:dyDescent="0.35">
      <c r="A162" s="16">
        <v>45260</v>
      </c>
      <c r="B162" s="17" t="s">
        <v>26</v>
      </c>
      <c r="C162" s="17" t="s">
        <v>28</v>
      </c>
      <c r="D162" s="17" t="s">
        <v>23</v>
      </c>
      <c r="E162" s="18">
        <v>7</v>
      </c>
      <c r="F162" s="18">
        <v>988</v>
      </c>
      <c r="G162" s="18">
        <v>6916</v>
      </c>
      <c r="H162" s="19">
        <v>1923.00493893422</v>
      </c>
      <c r="I162" s="20">
        <f t="shared" si="4"/>
        <v>0.27805161060355987</v>
      </c>
      <c r="J162" s="17" t="str">
        <f t="shared" si="5"/>
        <v>Low</v>
      </c>
    </row>
    <row r="163" spans="1:10" ht="15" customHeight="1" x14ac:dyDescent="0.35">
      <c r="A163" s="21">
        <v>45046</v>
      </c>
      <c r="B163" s="22" t="s">
        <v>29</v>
      </c>
      <c r="C163" s="22" t="s">
        <v>19</v>
      </c>
      <c r="D163" s="22" t="s">
        <v>21</v>
      </c>
      <c r="E163" s="23">
        <v>15</v>
      </c>
      <c r="F163" s="23">
        <v>1507</v>
      </c>
      <c r="G163" s="23">
        <v>22605</v>
      </c>
      <c r="H163" s="24">
        <v>2619.4971691711398</v>
      </c>
      <c r="I163" s="25">
        <f t="shared" si="4"/>
        <v>0.11588131692860605</v>
      </c>
      <c r="J163" s="22" t="str">
        <f t="shared" si="5"/>
        <v>Medium</v>
      </c>
    </row>
    <row r="164" spans="1:10" ht="15" customHeight="1" x14ac:dyDescent="0.35">
      <c r="A164" s="16">
        <v>45138</v>
      </c>
      <c r="B164" s="17" t="s">
        <v>24</v>
      </c>
      <c r="C164" s="17" t="s">
        <v>22</v>
      </c>
      <c r="D164" s="17" t="s">
        <v>20</v>
      </c>
      <c r="E164" s="18">
        <v>21</v>
      </c>
      <c r="F164" s="18">
        <v>914</v>
      </c>
      <c r="G164" s="18">
        <v>19194</v>
      </c>
      <c r="H164" s="19">
        <v>4727.4687271185803</v>
      </c>
      <c r="I164" s="20">
        <f t="shared" si="4"/>
        <v>0.24629929806807233</v>
      </c>
      <c r="J164" s="17" t="str">
        <f t="shared" si="5"/>
        <v>Low</v>
      </c>
    </row>
    <row r="165" spans="1:10" ht="15" customHeight="1" x14ac:dyDescent="0.35">
      <c r="A165" s="21">
        <v>45260</v>
      </c>
      <c r="B165" s="22" t="s">
        <v>26</v>
      </c>
      <c r="C165" s="22" t="s">
        <v>30</v>
      </c>
      <c r="D165" s="22" t="s">
        <v>31</v>
      </c>
      <c r="E165" s="23">
        <v>19</v>
      </c>
      <c r="F165" s="23">
        <v>958</v>
      </c>
      <c r="G165" s="23">
        <v>18202</v>
      </c>
      <c r="H165" s="24">
        <v>2502.4544412928399</v>
      </c>
      <c r="I165" s="25">
        <f t="shared" si="4"/>
        <v>0.13748238881951652</v>
      </c>
      <c r="J165" s="22" t="str">
        <f t="shared" si="5"/>
        <v>Low</v>
      </c>
    </row>
    <row r="166" spans="1:10" ht="15" customHeight="1" x14ac:dyDescent="0.35">
      <c r="A166" s="16">
        <v>45016</v>
      </c>
      <c r="B166" s="17" t="s">
        <v>24</v>
      </c>
      <c r="C166" s="17" t="s">
        <v>27</v>
      </c>
      <c r="D166" s="17" t="s">
        <v>20</v>
      </c>
      <c r="E166" s="18">
        <v>29</v>
      </c>
      <c r="F166" s="18">
        <v>1001</v>
      </c>
      <c r="G166" s="18">
        <v>29029</v>
      </c>
      <c r="H166" s="19">
        <v>7885.3043352198601</v>
      </c>
      <c r="I166" s="20">
        <f t="shared" si="4"/>
        <v>0.27163541063143271</v>
      </c>
      <c r="J166" s="17" t="str">
        <f t="shared" si="5"/>
        <v>Medium</v>
      </c>
    </row>
    <row r="167" spans="1:10" ht="15" customHeight="1" x14ac:dyDescent="0.35">
      <c r="A167" s="21">
        <v>45107</v>
      </c>
      <c r="B167" s="22" t="s">
        <v>29</v>
      </c>
      <c r="C167" s="22" t="s">
        <v>19</v>
      </c>
      <c r="D167" s="22" t="s">
        <v>20</v>
      </c>
      <c r="E167" s="23">
        <v>25</v>
      </c>
      <c r="F167" s="23">
        <v>975</v>
      </c>
      <c r="G167" s="23">
        <v>24375</v>
      </c>
      <c r="H167" s="24">
        <v>6430.4346300755697</v>
      </c>
      <c r="I167" s="25">
        <f t="shared" si="4"/>
        <v>0.26381270277233104</v>
      </c>
      <c r="J167" s="22" t="str">
        <f t="shared" si="5"/>
        <v>Medium</v>
      </c>
    </row>
    <row r="168" spans="1:10" ht="15" customHeight="1" x14ac:dyDescent="0.35">
      <c r="A168" s="16">
        <v>45291</v>
      </c>
      <c r="B168" s="17" t="s">
        <v>26</v>
      </c>
      <c r="C168" s="17" t="s">
        <v>19</v>
      </c>
      <c r="D168" s="17" t="s">
        <v>25</v>
      </c>
      <c r="E168" s="18">
        <v>33</v>
      </c>
      <c r="F168" s="18">
        <v>925</v>
      </c>
      <c r="G168" s="18">
        <v>30525</v>
      </c>
      <c r="H168" s="19">
        <v>6354.0458741867496</v>
      </c>
      <c r="I168" s="20">
        <f t="shared" si="4"/>
        <v>0.20815875099710893</v>
      </c>
      <c r="J168" s="17" t="str">
        <f t="shared" si="5"/>
        <v>Medium</v>
      </c>
    </row>
    <row r="169" spans="1:10" ht="15" customHeight="1" x14ac:dyDescent="0.35">
      <c r="A169" s="21">
        <v>44985</v>
      </c>
      <c r="B169" s="22" t="s">
        <v>24</v>
      </c>
      <c r="C169" s="22" t="s">
        <v>22</v>
      </c>
      <c r="D169" s="22" t="s">
        <v>23</v>
      </c>
      <c r="E169" s="23">
        <v>49</v>
      </c>
      <c r="F169" s="23">
        <v>399</v>
      </c>
      <c r="G169" s="23">
        <v>19551</v>
      </c>
      <c r="H169" s="24">
        <v>4732.2913911768701</v>
      </c>
      <c r="I169" s="25">
        <f t="shared" si="4"/>
        <v>0.24204855972466216</v>
      </c>
      <c r="J169" s="22" t="str">
        <f t="shared" si="5"/>
        <v>Low</v>
      </c>
    </row>
    <row r="170" spans="1:10" ht="15" customHeight="1" x14ac:dyDescent="0.35">
      <c r="A170" s="16">
        <v>45230</v>
      </c>
      <c r="B170" s="17" t="s">
        <v>26</v>
      </c>
      <c r="C170" s="17" t="s">
        <v>27</v>
      </c>
      <c r="D170" s="17" t="s">
        <v>31</v>
      </c>
      <c r="E170" s="18">
        <v>32</v>
      </c>
      <c r="F170" s="18">
        <v>1144</v>
      </c>
      <c r="G170" s="18">
        <v>36608</v>
      </c>
      <c r="H170" s="19">
        <v>5962.3457886861297</v>
      </c>
      <c r="I170" s="20">
        <f t="shared" si="4"/>
        <v>0.1628700226367496</v>
      </c>
      <c r="J170" s="17" t="str">
        <f t="shared" si="5"/>
        <v>Medium</v>
      </c>
    </row>
    <row r="171" spans="1:10" ht="15" customHeight="1" x14ac:dyDescent="0.35">
      <c r="A171" s="21">
        <v>45199</v>
      </c>
      <c r="B171" s="22" t="s">
        <v>29</v>
      </c>
      <c r="C171" s="22" t="s">
        <v>28</v>
      </c>
      <c r="D171" s="22" t="s">
        <v>20</v>
      </c>
      <c r="E171" s="23">
        <v>49</v>
      </c>
      <c r="F171" s="23">
        <v>278</v>
      </c>
      <c r="G171" s="23">
        <v>13622</v>
      </c>
      <c r="H171" s="24">
        <v>2645.8498238525599</v>
      </c>
      <c r="I171" s="25">
        <f t="shared" si="4"/>
        <v>0.19423357978656292</v>
      </c>
      <c r="J171" s="22" t="str">
        <f t="shared" si="5"/>
        <v>Low</v>
      </c>
    </row>
    <row r="172" spans="1:10" ht="15" customHeight="1" x14ac:dyDescent="0.35">
      <c r="A172" s="16">
        <v>45077</v>
      </c>
      <c r="B172" s="17" t="s">
        <v>24</v>
      </c>
      <c r="C172" s="17" t="s">
        <v>19</v>
      </c>
      <c r="D172" s="17" t="s">
        <v>31</v>
      </c>
      <c r="E172" s="18">
        <v>35</v>
      </c>
      <c r="F172" s="18">
        <v>1155</v>
      </c>
      <c r="G172" s="18">
        <v>40425</v>
      </c>
      <c r="H172" s="19">
        <v>10685.4343179892</v>
      </c>
      <c r="I172" s="20">
        <f t="shared" si="4"/>
        <v>0.26432737954209523</v>
      </c>
      <c r="J172" s="17" t="str">
        <f t="shared" si="5"/>
        <v>Medium</v>
      </c>
    </row>
    <row r="173" spans="1:10" ht="15" customHeight="1" x14ac:dyDescent="0.35">
      <c r="A173" s="21">
        <v>45107</v>
      </c>
      <c r="B173" s="22" t="s">
        <v>26</v>
      </c>
      <c r="C173" s="22" t="s">
        <v>22</v>
      </c>
      <c r="D173" s="22" t="s">
        <v>21</v>
      </c>
      <c r="E173" s="23">
        <v>44</v>
      </c>
      <c r="F173" s="23">
        <v>1055</v>
      </c>
      <c r="G173" s="23">
        <v>46420</v>
      </c>
      <c r="H173" s="24">
        <v>8905.8180905561203</v>
      </c>
      <c r="I173" s="25">
        <f t="shared" si="4"/>
        <v>0.19185303943464282</v>
      </c>
      <c r="J173" s="22" t="str">
        <f t="shared" si="5"/>
        <v>Medium</v>
      </c>
    </row>
    <row r="174" spans="1:10" ht="15" customHeight="1" x14ac:dyDescent="0.35">
      <c r="A174" s="16">
        <v>45291</v>
      </c>
      <c r="B174" s="17" t="s">
        <v>29</v>
      </c>
      <c r="C174" s="17" t="s">
        <v>28</v>
      </c>
      <c r="D174" s="17" t="s">
        <v>25</v>
      </c>
      <c r="E174" s="18">
        <v>38</v>
      </c>
      <c r="F174" s="18">
        <v>1396</v>
      </c>
      <c r="G174" s="18">
        <v>53048</v>
      </c>
      <c r="H174" s="19">
        <v>9100.8964757968097</v>
      </c>
      <c r="I174" s="20">
        <f t="shared" si="4"/>
        <v>0.17155965306508841</v>
      </c>
      <c r="J174" s="17" t="str">
        <f t="shared" si="5"/>
        <v>High</v>
      </c>
    </row>
    <row r="175" spans="1:10" ht="15" customHeight="1" x14ac:dyDescent="0.35">
      <c r="A175" s="21">
        <v>45291</v>
      </c>
      <c r="B175" s="22" t="s">
        <v>26</v>
      </c>
      <c r="C175" s="22" t="s">
        <v>27</v>
      </c>
      <c r="D175" s="22" t="s">
        <v>21</v>
      </c>
      <c r="E175" s="23">
        <v>26</v>
      </c>
      <c r="F175" s="23">
        <v>666</v>
      </c>
      <c r="G175" s="23">
        <v>17316</v>
      </c>
      <c r="H175" s="24">
        <v>3443.15654731724</v>
      </c>
      <c r="I175" s="25">
        <f t="shared" si="4"/>
        <v>0.19884248945006006</v>
      </c>
      <c r="J175" s="22" t="str">
        <f t="shared" si="5"/>
        <v>Low</v>
      </c>
    </row>
    <row r="176" spans="1:10" ht="15" customHeight="1" x14ac:dyDescent="0.35">
      <c r="A176" s="16">
        <v>45291</v>
      </c>
      <c r="B176" s="17" t="s">
        <v>26</v>
      </c>
      <c r="C176" s="17" t="s">
        <v>19</v>
      </c>
      <c r="D176" s="17" t="s">
        <v>31</v>
      </c>
      <c r="E176" s="18">
        <v>11</v>
      </c>
      <c r="F176" s="18">
        <v>780</v>
      </c>
      <c r="G176" s="18">
        <v>8580</v>
      </c>
      <c r="H176" s="19">
        <v>2279.27571718227</v>
      </c>
      <c r="I176" s="20">
        <f t="shared" si="4"/>
        <v>0.26564985048744405</v>
      </c>
      <c r="J176" s="17" t="str">
        <f t="shared" si="5"/>
        <v>Low</v>
      </c>
    </row>
    <row r="177" spans="1:10" ht="15" customHeight="1" x14ac:dyDescent="0.35">
      <c r="A177" s="21">
        <v>45291</v>
      </c>
      <c r="B177" s="22" t="s">
        <v>18</v>
      </c>
      <c r="C177" s="22" t="s">
        <v>28</v>
      </c>
      <c r="D177" s="22" t="s">
        <v>31</v>
      </c>
      <c r="E177" s="23">
        <v>35</v>
      </c>
      <c r="F177" s="23">
        <v>1639</v>
      </c>
      <c r="G177" s="23">
        <v>57365</v>
      </c>
      <c r="H177" s="24">
        <v>9582.3419274860207</v>
      </c>
      <c r="I177" s="25">
        <f t="shared" si="4"/>
        <v>0.16704160947417451</v>
      </c>
      <c r="J177" s="22" t="str">
        <f t="shared" si="5"/>
        <v>High</v>
      </c>
    </row>
    <row r="178" spans="1:10" ht="15" customHeight="1" x14ac:dyDescent="0.35">
      <c r="A178" s="16">
        <v>45046</v>
      </c>
      <c r="B178" s="17" t="s">
        <v>18</v>
      </c>
      <c r="C178" s="17" t="s">
        <v>28</v>
      </c>
      <c r="D178" s="17" t="s">
        <v>23</v>
      </c>
      <c r="E178" s="18">
        <v>8</v>
      </c>
      <c r="F178" s="18">
        <v>1139</v>
      </c>
      <c r="G178" s="18">
        <v>9112</v>
      </c>
      <c r="H178" s="19">
        <v>1227.86312733058</v>
      </c>
      <c r="I178" s="20">
        <f t="shared" si="4"/>
        <v>0.13475231862714881</v>
      </c>
      <c r="J178" s="17" t="str">
        <f t="shared" si="5"/>
        <v>Low</v>
      </c>
    </row>
    <row r="179" spans="1:10" ht="15" customHeight="1" x14ac:dyDescent="0.35">
      <c r="A179" s="21">
        <v>45260</v>
      </c>
      <c r="B179" s="22" t="s">
        <v>29</v>
      </c>
      <c r="C179" s="22" t="s">
        <v>28</v>
      </c>
      <c r="D179" s="22" t="s">
        <v>20</v>
      </c>
      <c r="E179" s="23">
        <v>46</v>
      </c>
      <c r="F179" s="23">
        <v>648</v>
      </c>
      <c r="G179" s="23">
        <v>29808</v>
      </c>
      <c r="H179" s="24">
        <v>7225.5427836039798</v>
      </c>
      <c r="I179" s="25">
        <f t="shared" si="4"/>
        <v>0.24240280406615605</v>
      </c>
      <c r="J179" s="22" t="str">
        <f t="shared" si="5"/>
        <v>Medium</v>
      </c>
    </row>
    <row r="180" spans="1:10" ht="15" customHeight="1" x14ac:dyDescent="0.35">
      <c r="A180" s="16">
        <v>45230</v>
      </c>
      <c r="B180" s="17" t="s">
        <v>18</v>
      </c>
      <c r="C180" s="17" t="s">
        <v>19</v>
      </c>
      <c r="D180" s="17" t="s">
        <v>20</v>
      </c>
      <c r="E180" s="18">
        <v>14</v>
      </c>
      <c r="F180" s="18">
        <v>286</v>
      </c>
      <c r="G180" s="18">
        <v>4004</v>
      </c>
      <c r="H180" s="19">
        <v>1061.8433527366301</v>
      </c>
      <c r="I180" s="20">
        <f t="shared" si="4"/>
        <v>0.26519564254161593</v>
      </c>
      <c r="J180" s="17" t="str">
        <f t="shared" si="5"/>
        <v>Low</v>
      </c>
    </row>
    <row r="181" spans="1:10" ht="15" customHeight="1" x14ac:dyDescent="0.35">
      <c r="A181" s="21">
        <v>45138</v>
      </c>
      <c r="B181" s="22" t="s">
        <v>29</v>
      </c>
      <c r="C181" s="22" t="s">
        <v>19</v>
      </c>
      <c r="D181" s="22" t="s">
        <v>21</v>
      </c>
      <c r="E181" s="23">
        <v>10</v>
      </c>
      <c r="F181" s="23">
        <v>300</v>
      </c>
      <c r="G181" s="23">
        <v>3000</v>
      </c>
      <c r="H181" s="24">
        <v>360.38248711412001</v>
      </c>
      <c r="I181" s="25">
        <f t="shared" si="4"/>
        <v>0.12012749570470667</v>
      </c>
      <c r="J181" s="22" t="str">
        <f t="shared" si="5"/>
        <v>Low</v>
      </c>
    </row>
    <row r="182" spans="1:10" ht="15" customHeight="1" x14ac:dyDescent="0.35">
      <c r="A182" s="16">
        <v>45291</v>
      </c>
      <c r="B182" s="17" t="s">
        <v>18</v>
      </c>
      <c r="C182" s="17" t="s">
        <v>30</v>
      </c>
      <c r="D182" s="17" t="s">
        <v>25</v>
      </c>
      <c r="E182" s="18">
        <v>2</v>
      </c>
      <c r="F182" s="18">
        <v>1231</v>
      </c>
      <c r="G182" s="18">
        <v>2462</v>
      </c>
      <c r="H182" s="19">
        <v>364.31401312102702</v>
      </c>
      <c r="I182" s="20">
        <f t="shared" si="4"/>
        <v>0.14797482255118888</v>
      </c>
      <c r="J182" s="17" t="str">
        <f t="shared" si="5"/>
        <v>Low</v>
      </c>
    </row>
    <row r="183" spans="1:10" ht="15" customHeight="1" x14ac:dyDescent="0.35">
      <c r="A183" s="21">
        <v>45199</v>
      </c>
      <c r="B183" s="22" t="s">
        <v>26</v>
      </c>
      <c r="C183" s="22" t="s">
        <v>27</v>
      </c>
      <c r="D183" s="22" t="s">
        <v>20</v>
      </c>
      <c r="E183" s="23">
        <v>46</v>
      </c>
      <c r="F183" s="23">
        <v>1044</v>
      </c>
      <c r="G183" s="23">
        <v>48024</v>
      </c>
      <c r="H183" s="24">
        <v>6166.0125672564</v>
      </c>
      <c r="I183" s="25">
        <f t="shared" si="4"/>
        <v>0.1283943979521989</v>
      </c>
      <c r="J183" s="22" t="str">
        <f t="shared" si="5"/>
        <v>Medium</v>
      </c>
    </row>
    <row r="184" spans="1:10" ht="15" customHeight="1" x14ac:dyDescent="0.35">
      <c r="A184" s="16">
        <v>45138</v>
      </c>
      <c r="B184" s="17" t="s">
        <v>29</v>
      </c>
      <c r="C184" s="17" t="s">
        <v>22</v>
      </c>
      <c r="D184" s="17" t="s">
        <v>23</v>
      </c>
      <c r="E184" s="18">
        <v>9</v>
      </c>
      <c r="F184" s="18">
        <v>1423</v>
      </c>
      <c r="G184" s="18">
        <v>12807</v>
      </c>
      <c r="H184" s="19">
        <v>2171.9171316265601</v>
      </c>
      <c r="I184" s="20">
        <f t="shared" si="4"/>
        <v>0.16958828231643322</v>
      </c>
      <c r="J184" s="17" t="str">
        <f t="shared" si="5"/>
        <v>Low</v>
      </c>
    </row>
    <row r="185" spans="1:10" ht="15" customHeight="1" x14ac:dyDescent="0.35">
      <c r="A185" s="21">
        <v>44957</v>
      </c>
      <c r="B185" s="22" t="s">
        <v>29</v>
      </c>
      <c r="C185" s="22" t="s">
        <v>28</v>
      </c>
      <c r="D185" s="22" t="s">
        <v>21</v>
      </c>
      <c r="E185" s="23">
        <v>3</v>
      </c>
      <c r="F185" s="23">
        <v>1728</v>
      </c>
      <c r="G185" s="23">
        <v>5184</v>
      </c>
      <c r="H185" s="24">
        <v>985.32389492913205</v>
      </c>
      <c r="I185" s="25">
        <f t="shared" si="4"/>
        <v>0.19007019578108258</v>
      </c>
      <c r="J185" s="22" t="str">
        <f t="shared" si="5"/>
        <v>Low</v>
      </c>
    </row>
    <row r="186" spans="1:10" ht="15" customHeight="1" x14ac:dyDescent="0.35">
      <c r="A186" s="16">
        <v>44957</v>
      </c>
      <c r="B186" s="17" t="s">
        <v>26</v>
      </c>
      <c r="C186" s="17" t="s">
        <v>30</v>
      </c>
      <c r="D186" s="17" t="s">
        <v>21</v>
      </c>
      <c r="E186" s="18">
        <v>21</v>
      </c>
      <c r="F186" s="18">
        <v>286</v>
      </c>
      <c r="G186" s="18">
        <v>6006</v>
      </c>
      <c r="H186" s="19">
        <v>1500.09019596032</v>
      </c>
      <c r="I186" s="20">
        <f t="shared" si="4"/>
        <v>0.24976526739266067</v>
      </c>
      <c r="J186" s="17" t="str">
        <f t="shared" si="5"/>
        <v>Low</v>
      </c>
    </row>
    <row r="187" spans="1:10" ht="15" customHeight="1" x14ac:dyDescent="0.35">
      <c r="A187" s="21">
        <v>45199</v>
      </c>
      <c r="B187" s="22" t="s">
        <v>29</v>
      </c>
      <c r="C187" s="22" t="s">
        <v>22</v>
      </c>
      <c r="D187" s="22" t="s">
        <v>23</v>
      </c>
      <c r="E187" s="23">
        <v>26</v>
      </c>
      <c r="F187" s="23">
        <v>242</v>
      </c>
      <c r="G187" s="23">
        <v>6292</v>
      </c>
      <c r="H187" s="24">
        <v>1448.6041208151</v>
      </c>
      <c r="I187" s="25">
        <f t="shared" si="4"/>
        <v>0.23022951697633504</v>
      </c>
      <c r="J187" s="22" t="str">
        <f t="shared" si="5"/>
        <v>Low</v>
      </c>
    </row>
    <row r="188" spans="1:10" ht="15" customHeight="1" x14ac:dyDescent="0.35">
      <c r="A188" s="16">
        <v>45260</v>
      </c>
      <c r="B188" s="17" t="s">
        <v>29</v>
      </c>
      <c r="C188" s="17" t="s">
        <v>30</v>
      </c>
      <c r="D188" s="17" t="s">
        <v>25</v>
      </c>
      <c r="E188" s="18">
        <v>8</v>
      </c>
      <c r="F188" s="18">
        <v>1608</v>
      </c>
      <c r="G188" s="18">
        <v>12864</v>
      </c>
      <c r="H188" s="19">
        <v>2883.9250184085099</v>
      </c>
      <c r="I188" s="20">
        <f t="shared" si="4"/>
        <v>0.22418571349568642</v>
      </c>
      <c r="J188" s="17" t="str">
        <f t="shared" si="5"/>
        <v>Low</v>
      </c>
    </row>
    <row r="189" spans="1:10" ht="15" customHeight="1" x14ac:dyDescent="0.35">
      <c r="A189" s="21">
        <v>45199</v>
      </c>
      <c r="B189" s="22" t="s">
        <v>18</v>
      </c>
      <c r="C189" s="22" t="s">
        <v>19</v>
      </c>
      <c r="D189" s="22" t="s">
        <v>23</v>
      </c>
      <c r="E189" s="23">
        <v>48</v>
      </c>
      <c r="F189" s="23">
        <v>1844</v>
      </c>
      <c r="G189" s="23">
        <v>88512</v>
      </c>
      <c r="H189" s="24">
        <v>15089.0822548628</v>
      </c>
      <c r="I189" s="25">
        <f t="shared" si="4"/>
        <v>0.1704749893219315</v>
      </c>
      <c r="J189" s="22" t="str">
        <f t="shared" si="5"/>
        <v>High</v>
      </c>
    </row>
    <row r="190" spans="1:10" ht="15" customHeight="1" x14ac:dyDescent="0.35">
      <c r="A190" s="16">
        <v>45046</v>
      </c>
      <c r="B190" s="17" t="s">
        <v>29</v>
      </c>
      <c r="C190" s="17" t="s">
        <v>28</v>
      </c>
      <c r="D190" s="17" t="s">
        <v>25</v>
      </c>
      <c r="E190" s="18">
        <v>2</v>
      </c>
      <c r="F190" s="18">
        <v>1658</v>
      </c>
      <c r="G190" s="18">
        <v>3316</v>
      </c>
      <c r="H190" s="19">
        <v>889.64801720581295</v>
      </c>
      <c r="I190" s="20">
        <f t="shared" si="4"/>
        <v>0.26828951061695205</v>
      </c>
      <c r="J190" s="17" t="str">
        <f t="shared" si="5"/>
        <v>Low</v>
      </c>
    </row>
    <row r="191" spans="1:10" ht="15" customHeight="1" x14ac:dyDescent="0.35">
      <c r="A191" s="21">
        <v>45199</v>
      </c>
      <c r="B191" s="22" t="s">
        <v>24</v>
      </c>
      <c r="C191" s="22" t="s">
        <v>22</v>
      </c>
      <c r="D191" s="22" t="s">
        <v>23</v>
      </c>
      <c r="E191" s="23">
        <v>6</v>
      </c>
      <c r="F191" s="23">
        <v>607</v>
      </c>
      <c r="G191" s="23">
        <v>3642</v>
      </c>
      <c r="H191" s="24">
        <v>707.48557273282302</v>
      </c>
      <c r="I191" s="25">
        <f t="shared" si="4"/>
        <v>0.1942574334796329</v>
      </c>
      <c r="J191" s="22" t="str">
        <f t="shared" si="5"/>
        <v>Low</v>
      </c>
    </row>
    <row r="192" spans="1:10" ht="15" customHeight="1" x14ac:dyDescent="0.35">
      <c r="A192" s="16">
        <v>45016</v>
      </c>
      <c r="B192" s="17" t="s">
        <v>26</v>
      </c>
      <c r="C192" s="17" t="s">
        <v>22</v>
      </c>
      <c r="D192" s="17" t="s">
        <v>23</v>
      </c>
      <c r="E192" s="18">
        <v>28</v>
      </c>
      <c r="F192" s="18">
        <v>1706</v>
      </c>
      <c r="G192" s="18">
        <v>47768</v>
      </c>
      <c r="H192" s="19">
        <v>14130.776935821599</v>
      </c>
      <c r="I192" s="20">
        <f t="shared" si="4"/>
        <v>0.29582098760303133</v>
      </c>
      <c r="J192" s="17" t="str">
        <f t="shared" si="5"/>
        <v>Medium</v>
      </c>
    </row>
    <row r="193" spans="1:10" ht="15" customHeight="1" x14ac:dyDescent="0.35">
      <c r="A193" s="21">
        <v>45138</v>
      </c>
      <c r="B193" s="22" t="s">
        <v>18</v>
      </c>
      <c r="C193" s="22" t="s">
        <v>22</v>
      </c>
      <c r="D193" s="22" t="s">
        <v>31</v>
      </c>
      <c r="E193" s="23">
        <v>29</v>
      </c>
      <c r="F193" s="23">
        <v>863</v>
      </c>
      <c r="G193" s="23">
        <v>25027</v>
      </c>
      <c r="H193" s="24">
        <v>5676.8350590254804</v>
      </c>
      <c r="I193" s="25">
        <f t="shared" si="4"/>
        <v>0.22682842765914735</v>
      </c>
      <c r="J193" s="22" t="str">
        <f t="shared" si="5"/>
        <v>Medium</v>
      </c>
    </row>
    <row r="194" spans="1:10" ht="15" customHeight="1" x14ac:dyDescent="0.35">
      <c r="A194" s="16">
        <v>45107</v>
      </c>
      <c r="B194" s="17" t="s">
        <v>18</v>
      </c>
      <c r="C194" s="17" t="s">
        <v>22</v>
      </c>
      <c r="D194" s="17" t="s">
        <v>21</v>
      </c>
      <c r="E194" s="18">
        <v>26</v>
      </c>
      <c r="F194" s="18">
        <v>1240</v>
      </c>
      <c r="G194" s="18">
        <v>32240</v>
      </c>
      <c r="H194" s="19">
        <v>4038.1550536079098</v>
      </c>
      <c r="I194" s="20">
        <f t="shared" ref="I194:I257" si="6">IFERROR(H194/G194,0)</f>
        <v>0.12525294831290043</v>
      </c>
      <c r="J194" s="17" t="str">
        <f t="shared" ref="J194:J257" si="7">IF(G194&gt;=50000,"High",IF(G194&gt;=20000,"Medium","Low"))</f>
        <v>Medium</v>
      </c>
    </row>
    <row r="195" spans="1:10" ht="15" customHeight="1" x14ac:dyDescent="0.35">
      <c r="A195" s="21">
        <v>45169</v>
      </c>
      <c r="B195" s="22" t="s">
        <v>24</v>
      </c>
      <c r="C195" s="22" t="s">
        <v>22</v>
      </c>
      <c r="D195" s="22" t="s">
        <v>23</v>
      </c>
      <c r="E195" s="23">
        <v>25</v>
      </c>
      <c r="F195" s="23">
        <v>1868</v>
      </c>
      <c r="G195" s="23">
        <v>46700</v>
      </c>
      <c r="H195" s="24">
        <v>10985.4984297846</v>
      </c>
      <c r="I195" s="25">
        <f t="shared" si="6"/>
        <v>0.23523551241508781</v>
      </c>
      <c r="J195" s="22" t="str">
        <f t="shared" si="7"/>
        <v>Medium</v>
      </c>
    </row>
    <row r="196" spans="1:10" ht="15" customHeight="1" x14ac:dyDescent="0.35">
      <c r="A196" s="16">
        <v>45260</v>
      </c>
      <c r="B196" s="17" t="s">
        <v>26</v>
      </c>
      <c r="C196" s="17" t="s">
        <v>30</v>
      </c>
      <c r="D196" s="17" t="s">
        <v>23</v>
      </c>
      <c r="E196" s="18">
        <v>12</v>
      </c>
      <c r="F196" s="18">
        <v>347</v>
      </c>
      <c r="G196" s="18">
        <v>4164</v>
      </c>
      <c r="H196" s="19">
        <v>687.14662405151898</v>
      </c>
      <c r="I196" s="20">
        <f t="shared" si="6"/>
        <v>0.16502080308633982</v>
      </c>
      <c r="J196" s="17" t="str">
        <f t="shared" si="7"/>
        <v>Low</v>
      </c>
    </row>
    <row r="197" spans="1:10" ht="15" customHeight="1" x14ac:dyDescent="0.35">
      <c r="A197" s="21">
        <v>45199</v>
      </c>
      <c r="B197" s="22" t="s">
        <v>26</v>
      </c>
      <c r="C197" s="22" t="s">
        <v>28</v>
      </c>
      <c r="D197" s="22" t="s">
        <v>20</v>
      </c>
      <c r="E197" s="23">
        <v>5</v>
      </c>
      <c r="F197" s="23">
        <v>476</v>
      </c>
      <c r="G197" s="23">
        <v>2380</v>
      </c>
      <c r="H197" s="24">
        <v>564.69174562258195</v>
      </c>
      <c r="I197" s="25">
        <f t="shared" si="6"/>
        <v>0.2372654393372193</v>
      </c>
      <c r="J197" s="22" t="str">
        <f t="shared" si="7"/>
        <v>Low</v>
      </c>
    </row>
    <row r="198" spans="1:10" ht="15" customHeight="1" x14ac:dyDescent="0.35">
      <c r="A198" s="16">
        <v>45077</v>
      </c>
      <c r="B198" s="17" t="s">
        <v>18</v>
      </c>
      <c r="C198" s="17" t="s">
        <v>19</v>
      </c>
      <c r="D198" s="17" t="s">
        <v>21</v>
      </c>
      <c r="E198" s="18">
        <v>34</v>
      </c>
      <c r="F198" s="18">
        <v>431</v>
      </c>
      <c r="G198" s="18">
        <v>14654</v>
      </c>
      <c r="H198" s="19">
        <v>1669.50427703438</v>
      </c>
      <c r="I198" s="20">
        <f t="shared" si="6"/>
        <v>0.11392822963248124</v>
      </c>
      <c r="J198" s="17" t="str">
        <f t="shared" si="7"/>
        <v>Low</v>
      </c>
    </row>
    <row r="199" spans="1:10" ht="15" customHeight="1" x14ac:dyDescent="0.35">
      <c r="A199" s="21">
        <v>44957</v>
      </c>
      <c r="B199" s="22" t="s">
        <v>29</v>
      </c>
      <c r="C199" s="22" t="s">
        <v>19</v>
      </c>
      <c r="D199" s="22" t="s">
        <v>20</v>
      </c>
      <c r="E199" s="23">
        <v>48</v>
      </c>
      <c r="F199" s="23">
        <v>565</v>
      </c>
      <c r="G199" s="23">
        <v>27120</v>
      </c>
      <c r="H199" s="24">
        <v>3660.5569152424</v>
      </c>
      <c r="I199" s="25">
        <f t="shared" si="6"/>
        <v>0.13497628743519174</v>
      </c>
      <c r="J199" s="22" t="str">
        <f t="shared" si="7"/>
        <v>Medium</v>
      </c>
    </row>
    <row r="200" spans="1:10" ht="15" customHeight="1" x14ac:dyDescent="0.35">
      <c r="A200" s="16">
        <v>45016</v>
      </c>
      <c r="B200" s="17" t="s">
        <v>18</v>
      </c>
      <c r="C200" s="17" t="s">
        <v>19</v>
      </c>
      <c r="D200" s="17" t="s">
        <v>21</v>
      </c>
      <c r="E200" s="18">
        <v>37</v>
      </c>
      <c r="F200" s="18">
        <v>1451</v>
      </c>
      <c r="G200" s="18">
        <v>53687</v>
      </c>
      <c r="H200" s="19">
        <v>14557.093243775</v>
      </c>
      <c r="I200" s="20">
        <f t="shared" si="6"/>
        <v>0.27114745178115746</v>
      </c>
      <c r="J200" s="17" t="str">
        <f t="shared" si="7"/>
        <v>High</v>
      </c>
    </row>
    <row r="201" spans="1:10" ht="15" customHeight="1" x14ac:dyDescent="0.35">
      <c r="A201" s="21">
        <v>45230</v>
      </c>
      <c r="B201" s="22" t="s">
        <v>26</v>
      </c>
      <c r="C201" s="22" t="s">
        <v>19</v>
      </c>
      <c r="D201" s="22" t="s">
        <v>20</v>
      </c>
      <c r="E201" s="23">
        <v>15</v>
      </c>
      <c r="F201" s="23">
        <v>1874</v>
      </c>
      <c r="G201" s="23">
        <v>28110</v>
      </c>
      <c r="H201" s="24">
        <v>4088.2034695861998</v>
      </c>
      <c r="I201" s="25">
        <f t="shared" si="6"/>
        <v>0.14543591140470294</v>
      </c>
      <c r="J201" s="22" t="str">
        <f t="shared" si="7"/>
        <v>Medium</v>
      </c>
    </row>
    <row r="202" spans="1:10" ht="15" customHeight="1" x14ac:dyDescent="0.35">
      <c r="A202" s="16">
        <v>45291</v>
      </c>
      <c r="B202" s="17" t="s">
        <v>24</v>
      </c>
      <c r="C202" s="17" t="s">
        <v>30</v>
      </c>
      <c r="D202" s="17" t="s">
        <v>23</v>
      </c>
      <c r="E202" s="18">
        <v>44</v>
      </c>
      <c r="F202" s="18">
        <v>635</v>
      </c>
      <c r="G202" s="18">
        <v>27940</v>
      </c>
      <c r="H202" s="19">
        <v>7471.3858078575504</v>
      </c>
      <c r="I202" s="20">
        <f t="shared" si="6"/>
        <v>0.26740822504858808</v>
      </c>
      <c r="J202" s="17" t="str">
        <f t="shared" si="7"/>
        <v>Medium</v>
      </c>
    </row>
    <row r="203" spans="1:10" ht="15" customHeight="1" x14ac:dyDescent="0.35">
      <c r="A203" s="21">
        <v>45169</v>
      </c>
      <c r="B203" s="22" t="s">
        <v>18</v>
      </c>
      <c r="C203" s="22" t="s">
        <v>27</v>
      </c>
      <c r="D203" s="22" t="s">
        <v>23</v>
      </c>
      <c r="E203" s="23">
        <v>36</v>
      </c>
      <c r="F203" s="23">
        <v>598</v>
      </c>
      <c r="G203" s="23">
        <v>21528</v>
      </c>
      <c r="H203" s="24">
        <v>3355.25112644931</v>
      </c>
      <c r="I203" s="25">
        <f t="shared" si="6"/>
        <v>0.15585521769088212</v>
      </c>
      <c r="J203" s="22" t="str">
        <f t="shared" si="7"/>
        <v>Medium</v>
      </c>
    </row>
    <row r="204" spans="1:10" ht="15" customHeight="1" x14ac:dyDescent="0.35">
      <c r="A204" s="16">
        <v>45260</v>
      </c>
      <c r="B204" s="17" t="s">
        <v>26</v>
      </c>
      <c r="C204" s="17" t="s">
        <v>28</v>
      </c>
      <c r="D204" s="17" t="s">
        <v>31</v>
      </c>
      <c r="E204" s="18">
        <v>15</v>
      </c>
      <c r="F204" s="18">
        <v>1434</v>
      </c>
      <c r="G204" s="18">
        <v>21510</v>
      </c>
      <c r="H204" s="19">
        <v>4916.6779770725598</v>
      </c>
      <c r="I204" s="20">
        <f t="shared" si="6"/>
        <v>0.22857638201174149</v>
      </c>
      <c r="J204" s="17" t="str">
        <f t="shared" si="7"/>
        <v>Medium</v>
      </c>
    </row>
    <row r="205" spans="1:10" ht="15" customHeight="1" x14ac:dyDescent="0.35">
      <c r="A205" s="21">
        <v>45107</v>
      </c>
      <c r="B205" s="22" t="s">
        <v>18</v>
      </c>
      <c r="C205" s="22" t="s">
        <v>22</v>
      </c>
      <c r="D205" s="22" t="s">
        <v>20</v>
      </c>
      <c r="E205" s="23">
        <v>43</v>
      </c>
      <c r="F205" s="23">
        <v>1614</v>
      </c>
      <c r="G205" s="23">
        <v>69402</v>
      </c>
      <c r="H205" s="24">
        <v>16575.2876205459</v>
      </c>
      <c r="I205" s="25">
        <f t="shared" si="6"/>
        <v>0.2388301147019668</v>
      </c>
      <c r="J205" s="22" t="str">
        <f t="shared" si="7"/>
        <v>High</v>
      </c>
    </row>
    <row r="206" spans="1:10" ht="15" customHeight="1" x14ac:dyDescent="0.35">
      <c r="A206" s="16">
        <v>45169</v>
      </c>
      <c r="B206" s="17" t="s">
        <v>29</v>
      </c>
      <c r="C206" s="17" t="s">
        <v>27</v>
      </c>
      <c r="D206" s="17" t="s">
        <v>25</v>
      </c>
      <c r="E206" s="18">
        <v>48</v>
      </c>
      <c r="F206" s="18">
        <v>698</v>
      </c>
      <c r="G206" s="18">
        <v>33504</v>
      </c>
      <c r="H206" s="19">
        <v>6785.5969698743702</v>
      </c>
      <c r="I206" s="20">
        <f t="shared" si="6"/>
        <v>0.20253095062901058</v>
      </c>
      <c r="J206" s="17" t="str">
        <f t="shared" si="7"/>
        <v>Medium</v>
      </c>
    </row>
    <row r="207" spans="1:10" ht="15" customHeight="1" x14ac:dyDescent="0.35">
      <c r="A207" s="21">
        <v>45199</v>
      </c>
      <c r="B207" s="22" t="s">
        <v>18</v>
      </c>
      <c r="C207" s="22" t="s">
        <v>19</v>
      </c>
      <c r="D207" s="22" t="s">
        <v>31</v>
      </c>
      <c r="E207" s="23">
        <v>23</v>
      </c>
      <c r="F207" s="23">
        <v>739</v>
      </c>
      <c r="G207" s="23">
        <v>16997</v>
      </c>
      <c r="H207" s="24">
        <v>2737.57311436287</v>
      </c>
      <c r="I207" s="25">
        <f t="shared" si="6"/>
        <v>0.16106213533934635</v>
      </c>
      <c r="J207" s="22" t="str">
        <f t="shared" si="7"/>
        <v>Low</v>
      </c>
    </row>
    <row r="208" spans="1:10" ht="15" customHeight="1" x14ac:dyDescent="0.35">
      <c r="A208" s="16">
        <v>45046</v>
      </c>
      <c r="B208" s="17" t="s">
        <v>18</v>
      </c>
      <c r="C208" s="17" t="s">
        <v>27</v>
      </c>
      <c r="D208" s="17" t="s">
        <v>20</v>
      </c>
      <c r="E208" s="18">
        <v>6</v>
      </c>
      <c r="F208" s="18">
        <v>762</v>
      </c>
      <c r="G208" s="18">
        <v>4572</v>
      </c>
      <c r="H208" s="19">
        <v>651.64201775372999</v>
      </c>
      <c r="I208" s="20">
        <f t="shared" si="6"/>
        <v>0.14252887527421915</v>
      </c>
      <c r="J208" s="17" t="str">
        <f t="shared" si="7"/>
        <v>Low</v>
      </c>
    </row>
    <row r="209" spans="1:10" ht="15" customHeight="1" x14ac:dyDescent="0.35">
      <c r="A209" s="21">
        <v>44957</v>
      </c>
      <c r="B209" s="22" t="s">
        <v>26</v>
      </c>
      <c r="C209" s="22" t="s">
        <v>28</v>
      </c>
      <c r="D209" s="22" t="s">
        <v>20</v>
      </c>
      <c r="E209" s="23">
        <v>46</v>
      </c>
      <c r="F209" s="23">
        <v>1714</v>
      </c>
      <c r="G209" s="23">
        <v>78844</v>
      </c>
      <c r="H209" s="24">
        <v>8407.7562942239892</v>
      </c>
      <c r="I209" s="25">
        <f t="shared" si="6"/>
        <v>0.10663787091248528</v>
      </c>
      <c r="J209" s="22" t="str">
        <f t="shared" si="7"/>
        <v>High</v>
      </c>
    </row>
    <row r="210" spans="1:10" ht="15" customHeight="1" x14ac:dyDescent="0.35">
      <c r="A210" s="16">
        <v>44957</v>
      </c>
      <c r="B210" s="17" t="s">
        <v>26</v>
      </c>
      <c r="C210" s="17" t="s">
        <v>22</v>
      </c>
      <c r="D210" s="17" t="s">
        <v>31</v>
      </c>
      <c r="E210" s="18">
        <v>44</v>
      </c>
      <c r="F210" s="18">
        <v>641</v>
      </c>
      <c r="G210" s="18">
        <v>28204</v>
      </c>
      <c r="H210" s="19">
        <v>4534.9008601186797</v>
      </c>
      <c r="I210" s="20">
        <f t="shared" si="6"/>
        <v>0.16078928024814493</v>
      </c>
      <c r="J210" s="17" t="str">
        <f t="shared" si="7"/>
        <v>Medium</v>
      </c>
    </row>
    <row r="211" spans="1:10" ht="15" customHeight="1" x14ac:dyDescent="0.35">
      <c r="A211" s="21">
        <v>45230</v>
      </c>
      <c r="B211" s="22" t="s">
        <v>26</v>
      </c>
      <c r="C211" s="22" t="s">
        <v>22</v>
      </c>
      <c r="D211" s="22" t="s">
        <v>23</v>
      </c>
      <c r="E211" s="23">
        <v>43</v>
      </c>
      <c r="F211" s="23">
        <v>1484</v>
      </c>
      <c r="G211" s="23">
        <v>63812</v>
      </c>
      <c r="H211" s="24">
        <v>14717.1247978765</v>
      </c>
      <c r="I211" s="25">
        <f t="shared" si="6"/>
        <v>0.23063255810625746</v>
      </c>
      <c r="J211" s="22" t="str">
        <f t="shared" si="7"/>
        <v>High</v>
      </c>
    </row>
    <row r="212" spans="1:10" ht="15" customHeight="1" x14ac:dyDescent="0.35">
      <c r="A212" s="16">
        <v>45046</v>
      </c>
      <c r="B212" s="17" t="s">
        <v>18</v>
      </c>
      <c r="C212" s="17" t="s">
        <v>28</v>
      </c>
      <c r="D212" s="17" t="s">
        <v>20</v>
      </c>
      <c r="E212" s="18">
        <v>45</v>
      </c>
      <c r="F212" s="18">
        <v>972</v>
      </c>
      <c r="G212" s="18">
        <v>43740</v>
      </c>
      <c r="H212" s="19">
        <v>12582.290551787301</v>
      </c>
      <c r="I212" s="20">
        <f t="shared" si="6"/>
        <v>0.28766096368969596</v>
      </c>
      <c r="J212" s="17" t="str">
        <f t="shared" si="7"/>
        <v>Medium</v>
      </c>
    </row>
    <row r="213" spans="1:10" ht="15" customHeight="1" x14ac:dyDescent="0.35">
      <c r="A213" s="21">
        <v>45291</v>
      </c>
      <c r="B213" s="22" t="s">
        <v>29</v>
      </c>
      <c r="C213" s="22" t="s">
        <v>28</v>
      </c>
      <c r="D213" s="22" t="s">
        <v>23</v>
      </c>
      <c r="E213" s="23">
        <v>21</v>
      </c>
      <c r="F213" s="23">
        <v>549</v>
      </c>
      <c r="G213" s="23">
        <v>11529</v>
      </c>
      <c r="H213" s="24">
        <v>3161.72329520215</v>
      </c>
      <c r="I213" s="25">
        <f t="shared" si="6"/>
        <v>0.27424089645261079</v>
      </c>
      <c r="J213" s="22" t="str">
        <f t="shared" si="7"/>
        <v>Low</v>
      </c>
    </row>
    <row r="214" spans="1:10" ht="15" customHeight="1" x14ac:dyDescent="0.35">
      <c r="A214" s="16">
        <v>45138</v>
      </c>
      <c r="B214" s="17" t="s">
        <v>24</v>
      </c>
      <c r="C214" s="17" t="s">
        <v>19</v>
      </c>
      <c r="D214" s="17" t="s">
        <v>31</v>
      </c>
      <c r="E214" s="18">
        <v>23</v>
      </c>
      <c r="F214" s="18">
        <v>1575</v>
      </c>
      <c r="G214" s="18">
        <v>36225</v>
      </c>
      <c r="H214" s="19">
        <v>9172.6393059982693</v>
      </c>
      <c r="I214" s="20">
        <f t="shared" si="6"/>
        <v>0.25321295530706056</v>
      </c>
      <c r="J214" s="17" t="str">
        <f t="shared" si="7"/>
        <v>Medium</v>
      </c>
    </row>
    <row r="215" spans="1:10" ht="15" customHeight="1" x14ac:dyDescent="0.35">
      <c r="A215" s="21">
        <v>44985</v>
      </c>
      <c r="B215" s="22" t="s">
        <v>24</v>
      </c>
      <c r="C215" s="22" t="s">
        <v>22</v>
      </c>
      <c r="D215" s="22" t="s">
        <v>23</v>
      </c>
      <c r="E215" s="23">
        <v>43</v>
      </c>
      <c r="F215" s="23">
        <v>719</v>
      </c>
      <c r="G215" s="23">
        <v>30917</v>
      </c>
      <c r="H215" s="24">
        <v>7966.9853022724501</v>
      </c>
      <c r="I215" s="25">
        <f t="shared" si="6"/>
        <v>0.25768946865065984</v>
      </c>
      <c r="J215" s="22" t="str">
        <f t="shared" si="7"/>
        <v>Medium</v>
      </c>
    </row>
    <row r="216" spans="1:10" ht="15" customHeight="1" x14ac:dyDescent="0.35">
      <c r="A216" s="16">
        <v>45016</v>
      </c>
      <c r="B216" s="17" t="s">
        <v>26</v>
      </c>
      <c r="C216" s="17" t="s">
        <v>27</v>
      </c>
      <c r="D216" s="17" t="s">
        <v>21</v>
      </c>
      <c r="E216" s="18">
        <v>16</v>
      </c>
      <c r="F216" s="18">
        <v>1543</v>
      </c>
      <c r="G216" s="18">
        <v>24688</v>
      </c>
      <c r="H216" s="19">
        <v>5752.22945940308</v>
      </c>
      <c r="I216" s="20">
        <f t="shared" si="6"/>
        <v>0.23299698069519928</v>
      </c>
      <c r="J216" s="17" t="str">
        <f t="shared" si="7"/>
        <v>Medium</v>
      </c>
    </row>
    <row r="217" spans="1:10" ht="15" customHeight="1" x14ac:dyDescent="0.35">
      <c r="A217" s="21">
        <v>44957</v>
      </c>
      <c r="B217" s="22" t="s">
        <v>26</v>
      </c>
      <c r="C217" s="22" t="s">
        <v>30</v>
      </c>
      <c r="D217" s="22" t="s">
        <v>25</v>
      </c>
      <c r="E217" s="23">
        <v>47</v>
      </c>
      <c r="F217" s="23">
        <v>337</v>
      </c>
      <c r="G217" s="23">
        <v>15839</v>
      </c>
      <c r="H217" s="24">
        <v>2408.43670739758</v>
      </c>
      <c r="I217" s="25">
        <f t="shared" si="6"/>
        <v>0.15205737151320034</v>
      </c>
      <c r="J217" s="22" t="str">
        <f t="shared" si="7"/>
        <v>Low</v>
      </c>
    </row>
    <row r="218" spans="1:10" ht="15" customHeight="1" x14ac:dyDescent="0.35">
      <c r="A218" s="16">
        <v>45077</v>
      </c>
      <c r="B218" s="17" t="s">
        <v>18</v>
      </c>
      <c r="C218" s="17" t="s">
        <v>30</v>
      </c>
      <c r="D218" s="17" t="s">
        <v>20</v>
      </c>
      <c r="E218" s="18">
        <v>15</v>
      </c>
      <c r="F218" s="18">
        <v>1773</v>
      </c>
      <c r="G218" s="18">
        <v>26595</v>
      </c>
      <c r="H218" s="19">
        <v>7484.8703683243102</v>
      </c>
      <c r="I218" s="20">
        <f t="shared" si="6"/>
        <v>0.28143900614116601</v>
      </c>
      <c r="J218" s="17" t="str">
        <f t="shared" si="7"/>
        <v>Medium</v>
      </c>
    </row>
    <row r="219" spans="1:10" ht="15" customHeight="1" x14ac:dyDescent="0.35">
      <c r="A219" s="21">
        <v>44957</v>
      </c>
      <c r="B219" s="22" t="s">
        <v>24</v>
      </c>
      <c r="C219" s="22" t="s">
        <v>28</v>
      </c>
      <c r="D219" s="22" t="s">
        <v>25</v>
      </c>
      <c r="E219" s="23">
        <v>25</v>
      </c>
      <c r="F219" s="23">
        <v>1846</v>
      </c>
      <c r="G219" s="23">
        <v>46150</v>
      </c>
      <c r="H219" s="24">
        <v>10805.8592388909</v>
      </c>
      <c r="I219" s="25">
        <f t="shared" si="6"/>
        <v>0.23414646238116793</v>
      </c>
      <c r="J219" s="22" t="str">
        <f t="shared" si="7"/>
        <v>Medium</v>
      </c>
    </row>
    <row r="220" spans="1:10" ht="15" customHeight="1" x14ac:dyDescent="0.35">
      <c r="A220" s="16">
        <v>45169</v>
      </c>
      <c r="B220" s="17" t="s">
        <v>26</v>
      </c>
      <c r="C220" s="17" t="s">
        <v>19</v>
      </c>
      <c r="D220" s="17" t="s">
        <v>23</v>
      </c>
      <c r="E220" s="18">
        <v>36</v>
      </c>
      <c r="F220" s="18">
        <v>1191</v>
      </c>
      <c r="G220" s="18">
        <v>42876</v>
      </c>
      <c r="H220" s="19">
        <v>9093.4904987834707</v>
      </c>
      <c r="I220" s="20">
        <f t="shared" si="6"/>
        <v>0.21208812619608805</v>
      </c>
      <c r="J220" s="17" t="str">
        <f t="shared" si="7"/>
        <v>Medium</v>
      </c>
    </row>
    <row r="221" spans="1:10" ht="15" customHeight="1" x14ac:dyDescent="0.35">
      <c r="A221" s="21">
        <v>44957</v>
      </c>
      <c r="B221" s="22" t="s">
        <v>29</v>
      </c>
      <c r="C221" s="22" t="s">
        <v>30</v>
      </c>
      <c r="D221" s="22" t="s">
        <v>20</v>
      </c>
      <c r="E221" s="23">
        <v>11</v>
      </c>
      <c r="F221" s="23">
        <v>567</v>
      </c>
      <c r="G221" s="23">
        <v>6237</v>
      </c>
      <c r="H221" s="24">
        <v>762.14826389689597</v>
      </c>
      <c r="I221" s="25">
        <f t="shared" si="6"/>
        <v>0.12219789384269616</v>
      </c>
      <c r="J221" s="22" t="str">
        <f t="shared" si="7"/>
        <v>Low</v>
      </c>
    </row>
    <row r="222" spans="1:10" ht="15" customHeight="1" x14ac:dyDescent="0.35">
      <c r="A222" s="16">
        <v>45260</v>
      </c>
      <c r="B222" s="17" t="s">
        <v>29</v>
      </c>
      <c r="C222" s="17" t="s">
        <v>22</v>
      </c>
      <c r="D222" s="17" t="s">
        <v>23</v>
      </c>
      <c r="E222" s="18">
        <v>15</v>
      </c>
      <c r="F222" s="18">
        <v>1443</v>
      </c>
      <c r="G222" s="18">
        <v>21645</v>
      </c>
      <c r="H222" s="19">
        <v>4099.8034491380204</v>
      </c>
      <c r="I222" s="20">
        <f t="shared" si="6"/>
        <v>0.18941110876128531</v>
      </c>
      <c r="J222" s="17" t="str">
        <f t="shared" si="7"/>
        <v>Medium</v>
      </c>
    </row>
    <row r="223" spans="1:10" ht="15" customHeight="1" x14ac:dyDescent="0.35">
      <c r="A223" s="21">
        <v>44957</v>
      </c>
      <c r="B223" s="22" t="s">
        <v>26</v>
      </c>
      <c r="C223" s="22" t="s">
        <v>28</v>
      </c>
      <c r="D223" s="22" t="s">
        <v>21</v>
      </c>
      <c r="E223" s="23">
        <v>4</v>
      </c>
      <c r="F223" s="23">
        <v>1560</v>
      </c>
      <c r="G223" s="23">
        <v>6240</v>
      </c>
      <c r="H223" s="24">
        <v>1198.5271224600001</v>
      </c>
      <c r="I223" s="25">
        <f t="shared" si="6"/>
        <v>0.19207165424038464</v>
      </c>
      <c r="J223" s="22" t="str">
        <f t="shared" si="7"/>
        <v>Low</v>
      </c>
    </row>
    <row r="224" spans="1:10" ht="15" customHeight="1" x14ac:dyDescent="0.35">
      <c r="A224" s="16">
        <v>44985</v>
      </c>
      <c r="B224" s="17" t="s">
        <v>26</v>
      </c>
      <c r="C224" s="17" t="s">
        <v>27</v>
      </c>
      <c r="D224" s="17" t="s">
        <v>31</v>
      </c>
      <c r="E224" s="18">
        <v>21</v>
      </c>
      <c r="F224" s="18">
        <v>1446</v>
      </c>
      <c r="G224" s="18">
        <v>30366</v>
      </c>
      <c r="H224" s="19">
        <v>8287.2677133530797</v>
      </c>
      <c r="I224" s="20">
        <f t="shared" si="6"/>
        <v>0.27291272190453403</v>
      </c>
      <c r="J224" s="17" t="str">
        <f t="shared" si="7"/>
        <v>Medium</v>
      </c>
    </row>
    <row r="225" spans="1:10" ht="15" customHeight="1" x14ac:dyDescent="0.35">
      <c r="A225" s="21">
        <v>44985</v>
      </c>
      <c r="B225" s="22" t="s">
        <v>24</v>
      </c>
      <c r="C225" s="22" t="s">
        <v>28</v>
      </c>
      <c r="D225" s="22" t="s">
        <v>20</v>
      </c>
      <c r="E225" s="23">
        <v>13</v>
      </c>
      <c r="F225" s="23">
        <v>1871</v>
      </c>
      <c r="G225" s="23">
        <v>24323</v>
      </c>
      <c r="H225" s="24">
        <v>5091.5249319255199</v>
      </c>
      <c r="I225" s="25">
        <f t="shared" si="6"/>
        <v>0.20932964403755785</v>
      </c>
      <c r="J225" s="22" t="str">
        <f t="shared" si="7"/>
        <v>Medium</v>
      </c>
    </row>
    <row r="226" spans="1:10" ht="15" customHeight="1" x14ac:dyDescent="0.35">
      <c r="A226" s="16">
        <v>45291</v>
      </c>
      <c r="B226" s="17" t="s">
        <v>24</v>
      </c>
      <c r="C226" s="17" t="s">
        <v>27</v>
      </c>
      <c r="D226" s="17" t="s">
        <v>21</v>
      </c>
      <c r="E226" s="18">
        <v>22</v>
      </c>
      <c r="F226" s="18">
        <v>1991</v>
      </c>
      <c r="G226" s="18">
        <v>43802</v>
      </c>
      <c r="H226" s="19">
        <v>7712.6609692003804</v>
      </c>
      <c r="I226" s="20">
        <f t="shared" si="6"/>
        <v>0.17608010979408201</v>
      </c>
      <c r="J226" s="17" t="str">
        <f t="shared" si="7"/>
        <v>Medium</v>
      </c>
    </row>
    <row r="227" spans="1:10" ht="15" customHeight="1" x14ac:dyDescent="0.35">
      <c r="A227" s="21">
        <v>45107</v>
      </c>
      <c r="B227" s="22" t="s">
        <v>18</v>
      </c>
      <c r="C227" s="22" t="s">
        <v>28</v>
      </c>
      <c r="D227" s="22" t="s">
        <v>21</v>
      </c>
      <c r="E227" s="23">
        <v>19</v>
      </c>
      <c r="F227" s="23">
        <v>559</v>
      </c>
      <c r="G227" s="23">
        <v>10621</v>
      </c>
      <c r="H227" s="24">
        <v>3137.01925782234</v>
      </c>
      <c r="I227" s="25">
        <f t="shared" si="6"/>
        <v>0.29536006570213164</v>
      </c>
      <c r="J227" s="22" t="str">
        <f t="shared" si="7"/>
        <v>Low</v>
      </c>
    </row>
    <row r="228" spans="1:10" ht="15" customHeight="1" x14ac:dyDescent="0.35">
      <c r="A228" s="16">
        <v>45138</v>
      </c>
      <c r="B228" s="17" t="s">
        <v>24</v>
      </c>
      <c r="C228" s="17" t="s">
        <v>28</v>
      </c>
      <c r="D228" s="17" t="s">
        <v>20</v>
      </c>
      <c r="E228" s="18">
        <v>34</v>
      </c>
      <c r="F228" s="18">
        <v>1120</v>
      </c>
      <c r="G228" s="18">
        <v>38080</v>
      </c>
      <c r="H228" s="19">
        <v>4651.2480387732203</v>
      </c>
      <c r="I228" s="20">
        <f t="shared" si="6"/>
        <v>0.12214411866526313</v>
      </c>
      <c r="J228" s="17" t="str">
        <f t="shared" si="7"/>
        <v>Medium</v>
      </c>
    </row>
    <row r="229" spans="1:10" ht="15" customHeight="1" x14ac:dyDescent="0.35">
      <c r="A229" s="21">
        <v>45077</v>
      </c>
      <c r="B229" s="22" t="s">
        <v>29</v>
      </c>
      <c r="C229" s="22" t="s">
        <v>28</v>
      </c>
      <c r="D229" s="22" t="s">
        <v>23</v>
      </c>
      <c r="E229" s="23">
        <v>14</v>
      </c>
      <c r="F229" s="23">
        <v>528</v>
      </c>
      <c r="G229" s="23">
        <v>7392</v>
      </c>
      <c r="H229" s="24">
        <v>1363.8955964163799</v>
      </c>
      <c r="I229" s="25">
        <f t="shared" si="6"/>
        <v>0.18450968566238907</v>
      </c>
      <c r="J229" s="22" t="str">
        <f t="shared" si="7"/>
        <v>Low</v>
      </c>
    </row>
    <row r="230" spans="1:10" ht="15" customHeight="1" x14ac:dyDescent="0.35">
      <c r="A230" s="16">
        <v>44957</v>
      </c>
      <c r="B230" s="17" t="s">
        <v>29</v>
      </c>
      <c r="C230" s="17" t="s">
        <v>27</v>
      </c>
      <c r="D230" s="17" t="s">
        <v>21</v>
      </c>
      <c r="E230" s="18">
        <v>4</v>
      </c>
      <c r="F230" s="18">
        <v>1161</v>
      </c>
      <c r="G230" s="18">
        <v>4644</v>
      </c>
      <c r="H230" s="19">
        <v>503.43251829920098</v>
      </c>
      <c r="I230" s="20">
        <f t="shared" si="6"/>
        <v>0.108404935034281</v>
      </c>
      <c r="J230" s="17" t="str">
        <f t="shared" si="7"/>
        <v>Low</v>
      </c>
    </row>
    <row r="231" spans="1:10" ht="15" customHeight="1" x14ac:dyDescent="0.35">
      <c r="A231" s="21">
        <v>44957</v>
      </c>
      <c r="B231" s="22" t="s">
        <v>26</v>
      </c>
      <c r="C231" s="22" t="s">
        <v>27</v>
      </c>
      <c r="D231" s="22" t="s">
        <v>25</v>
      </c>
      <c r="E231" s="23">
        <v>48</v>
      </c>
      <c r="F231" s="23">
        <v>662</v>
      </c>
      <c r="G231" s="23">
        <v>31776</v>
      </c>
      <c r="H231" s="24">
        <v>7879.8386682979999</v>
      </c>
      <c r="I231" s="25">
        <f t="shared" si="6"/>
        <v>0.24798082415338621</v>
      </c>
      <c r="J231" s="22" t="str">
        <f t="shared" si="7"/>
        <v>Medium</v>
      </c>
    </row>
    <row r="232" spans="1:10" ht="15" customHeight="1" x14ac:dyDescent="0.35">
      <c r="A232" s="16">
        <v>45016</v>
      </c>
      <c r="B232" s="17" t="s">
        <v>24</v>
      </c>
      <c r="C232" s="17" t="s">
        <v>28</v>
      </c>
      <c r="D232" s="17" t="s">
        <v>21</v>
      </c>
      <c r="E232" s="18">
        <v>46</v>
      </c>
      <c r="F232" s="18">
        <v>1145</v>
      </c>
      <c r="G232" s="18">
        <v>52670</v>
      </c>
      <c r="H232" s="19">
        <v>14938.0184008659</v>
      </c>
      <c r="I232" s="20">
        <f t="shared" si="6"/>
        <v>0.28361531043983101</v>
      </c>
      <c r="J232" s="17" t="str">
        <f t="shared" si="7"/>
        <v>High</v>
      </c>
    </row>
    <row r="233" spans="1:10" ht="15" customHeight="1" x14ac:dyDescent="0.35">
      <c r="A233" s="21">
        <v>44985</v>
      </c>
      <c r="B233" s="22" t="s">
        <v>18</v>
      </c>
      <c r="C233" s="22" t="s">
        <v>30</v>
      </c>
      <c r="D233" s="22" t="s">
        <v>23</v>
      </c>
      <c r="E233" s="23">
        <v>27</v>
      </c>
      <c r="F233" s="23">
        <v>1162</v>
      </c>
      <c r="G233" s="23">
        <v>31374</v>
      </c>
      <c r="H233" s="24">
        <v>4894.5782354634102</v>
      </c>
      <c r="I233" s="25">
        <f t="shared" si="6"/>
        <v>0.15600746591009787</v>
      </c>
      <c r="J233" s="22" t="str">
        <f t="shared" si="7"/>
        <v>Medium</v>
      </c>
    </row>
    <row r="234" spans="1:10" ht="15" customHeight="1" x14ac:dyDescent="0.35">
      <c r="A234" s="16">
        <v>45077</v>
      </c>
      <c r="B234" s="17" t="s">
        <v>29</v>
      </c>
      <c r="C234" s="17" t="s">
        <v>19</v>
      </c>
      <c r="D234" s="17" t="s">
        <v>23</v>
      </c>
      <c r="E234" s="18">
        <v>29</v>
      </c>
      <c r="F234" s="18">
        <v>1784</v>
      </c>
      <c r="G234" s="18">
        <v>51736</v>
      </c>
      <c r="H234" s="19">
        <v>14055.032998175901</v>
      </c>
      <c r="I234" s="20">
        <f t="shared" si="6"/>
        <v>0.27166833535982488</v>
      </c>
      <c r="J234" s="17" t="str">
        <f t="shared" si="7"/>
        <v>High</v>
      </c>
    </row>
    <row r="235" spans="1:10" ht="15" customHeight="1" x14ac:dyDescent="0.35">
      <c r="A235" s="21">
        <v>45291</v>
      </c>
      <c r="B235" s="22" t="s">
        <v>29</v>
      </c>
      <c r="C235" s="22" t="s">
        <v>19</v>
      </c>
      <c r="D235" s="22" t="s">
        <v>25</v>
      </c>
      <c r="E235" s="23">
        <v>47</v>
      </c>
      <c r="F235" s="23">
        <v>1605</v>
      </c>
      <c r="G235" s="23">
        <v>75435</v>
      </c>
      <c r="H235" s="24">
        <v>11952.1964429787</v>
      </c>
      <c r="I235" s="25">
        <f t="shared" si="6"/>
        <v>0.15844364609238021</v>
      </c>
      <c r="J235" s="22" t="str">
        <f t="shared" si="7"/>
        <v>High</v>
      </c>
    </row>
    <row r="236" spans="1:10" ht="15" customHeight="1" x14ac:dyDescent="0.35">
      <c r="A236" s="16">
        <v>45230</v>
      </c>
      <c r="B236" s="17" t="s">
        <v>18</v>
      </c>
      <c r="C236" s="17" t="s">
        <v>19</v>
      </c>
      <c r="D236" s="17" t="s">
        <v>21</v>
      </c>
      <c r="E236" s="18">
        <v>28</v>
      </c>
      <c r="F236" s="18">
        <v>1035</v>
      </c>
      <c r="G236" s="18">
        <v>28980</v>
      </c>
      <c r="H236" s="19">
        <v>8176.8238568881297</v>
      </c>
      <c r="I236" s="20">
        <f t="shared" si="6"/>
        <v>0.28215403232878294</v>
      </c>
      <c r="J236" s="17" t="str">
        <f t="shared" si="7"/>
        <v>Medium</v>
      </c>
    </row>
    <row r="237" spans="1:10" ht="15" customHeight="1" x14ac:dyDescent="0.35">
      <c r="A237" s="21">
        <v>45107</v>
      </c>
      <c r="B237" s="22" t="s">
        <v>18</v>
      </c>
      <c r="C237" s="22" t="s">
        <v>27</v>
      </c>
      <c r="D237" s="22" t="s">
        <v>23</v>
      </c>
      <c r="E237" s="23">
        <v>35</v>
      </c>
      <c r="F237" s="23">
        <v>1813</v>
      </c>
      <c r="G237" s="23">
        <v>63455</v>
      </c>
      <c r="H237" s="24">
        <v>15914.030518546801</v>
      </c>
      <c r="I237" s="25">
        <f t="shared" si="6"/>
        <v>0.25079238071935706</v>
      </c>
      <c r="J237" s="22" t="str">
        <f t="shared" si="7"/>
        <v>High</v>
      </c>
    </row>
    <row r="238" spans="1:10" ht="15" customHeight="1" x14ac:dyDescent="0.35">
      <c r="A238" s="16">
        <v>45138</v>
      </c>
      <c r="B238" s="17" t="s">
        <v>29</v>
      </c>
      <c r="C238" s="17" t="s">
        <v>27</v>
      </c>
      <c r="D238" s="17" t="s">
        <v>20</v>
      </c>
      <c r="E238" s="18">
        <v>8</v>
      </c>
      <c r="F238" s="18">
        <v>1840</v>
      </c>
      <c r="G238" s="18">
        <v>14720</v>
      </c>
      <c r="H238" s="19">
        <v>3841.6455510211999</v>
      </c>
      <c r="I238" s="20">
        <f t="shared" si="6"/>
        <v>0.26098135536828804</v>
      </c>
      <c r="J238" s="17" t="str">
        <f t="shared" si="7"/>
        <v>Low</v>
      </c>
    </row>
    <row r="239" spans="1:10" ht="15" customHeight="1" x14ac:dyDescent="0.35">
      <c r="A239" s="21">
        <v>45046</v>
      </c>
      <c r="B239" s="22" t="s">
        <v>29</v>
      </c>
      <c r="C239" s="22" t="s">
        <v>30</v>
      </c>
      <c r="D239" s="22" t="s">
        <v>31</v>
      </c>
      <c r="E239" s="23">
        <v>16</v>
      </c>
      <c r="F239" s="23">
        <v>368</v>
      </c>
      <c r="G239" s="23">
        <v>5888</v>
      </c>
      <c r="H239" s="24">
        <v>610.00451987509496</v>
      </c>
      <c r="I239" s="25">
        <f t="shared" si="6"/>
        <v>0.10360131112009086</v>
      </c>
      <c r="J239" s="22" t="str">
        <f t="shared" si="7"/>
        <v>Low</v>
      </c>
    </row>
    <row r="240" spans="1:10" ht="15" customHeight="1" x14ac:dyDescent="0.35">
      <c r="A240" s="16">
        <v>45138</v>
      </c>
      <c r="B240" s="17" t="s">
        <v>18</v>
      </c>
      <c r="C240" s="17" t="s">
        <v>19</v>
      </c>
      <c r="D240" s="17" t="s">
        <v>31</v>
      </c>
      <c r="E240" s="18">
        <v>42</v>
      </c>
      <c r="F240" s="18">
        <v>416</v>
      </c>
      <c r="G240" s="18">
        <v>17472</v>
      </c>
      <c r="H240" s="19">
        <v>5111.6445117594803</v>
      </c>
      <c r="I240" s="20">
        <f t="shared" si="6"/>
        <v>0.29256207141480545</v>
      </c>
      <c r="J240" s="17" t="str">
        <f t="shared" si="7"/>
        <v>Low</v>
      </c>
    </row>
    <row r="241" spans="1:10" ht="15" customHeight="1" x14ac:dyDescent="0.35">
      <c r="A241" s="21">
        <v>45260</v>
      </c>
      <c r="B241" s="22" t="s">
        <v>29</v>
      </c>
      <c r="C241" s="22" t="s">
        <v>19</v>
      </c>
      <c r="D241" s="22" t="s">
        <v>31</v>
      </c>
      <c r="E241" s="23">
        <v>36</v>
      </c>
      <c r="F241" s="23">
        <v>577</v>
      </c>
      <c r="G241" s="23">
        <v>20772</v>
      </c>
      <c r="H241" s="24">
        <v>5096.08196945695</v>
      </c>
      <c r="I241" s="25">
        <f t="shared" si="6"/>
        <v>0.24533419841406462</v>
      </c>
      <c r="J241" s="22" t="str">
        <f t="shared" si="7"/>
        <v>Medium</v>
      </c>
    </row>
    <row r="242" spans="1:10" ht="15" customHeight="1" x14ac:dyDescent="0.35">
      <c r="A242" s="16">
        <v>45169</v>
      </c>
      <c r="B242" s="17" t="s">
        <v>26</v>
      </c>
      <c r="C242" s="17" t="s">
        <v>28</v>
      </c>
      <c r="D242" s="17" t="s">
        <v>21</v>
      </c>
      <c r="E242" s="18">
        <v>30</v>
      </c>
      <c r="F242" s="18">
        <v>318</v>
      </c>
      <c r="G242" s="18">
        <v>9540</v>
      </c>
      <c r="H242" s="19">
        <v>1535.4650899967401</v>
      </c>
      <c r="I242" s="20">
        <f t="shared" si="6"/>
        <v>0.16095021907722643</v>
      </c>
      <c r="J242" s="17" t="str">
        <f t="shared" si="7"/>
        <v>Low</v>
      </c>
    </row>
    <row r="243" spans="1:10" ht="15" customHeight="1" x14ac:dyDescent="0.35">
      <c r="A243" s="21">
        <v>45260</v>
      </c>
      <c r="B243" s="22" t="s">
        <v>26</v>
      </c>
      <c r="C243" s="22" t="s">
        <v>27</v>
      </c>
      <c r="D243" s="22" t="s">
        <v>25</v>
      </c>
      <c r="E243" s="23">
        <v>18</v>
      </c>
      <c r="F243" s="23">
        <v>389</v>
      </c>
      <c r="G243" s="23">
        <v>7002</v>
      </c>
      <c r="H243" s="24">
        <v>1861.6842886683301</v>
      </c>
      <c r="I243" s="25">
        <f t="shared" si="6"/>
        <v>0.26587893297176951</v>
      </c>
      <c r="J243" s="22" t="str">
        <f t="shared" si="7"/>
        <v>Low</v>
      </c>
    </row>
    <row r="244" spans="1:10" ht="15" customHeight="1" x14ac:dyDescent="0.35">
      <c r="A244" s="16">
        <v>44957</v>
      </c>
      <c r="B244" s="17" t="s">
        <v>18</v>
      </c>
      <c r="C244" s="17" t="s">
        <v>19</v>
      </c>
      <c r="D244" s="17" t="s">
        <v>23</v>
      </c>
      <c r="E244" s="18">
        <v>2</v>
      </c>
      <c r="F244" s="18">
        <v>966</v>
      </c>
      <c r="G244" s="18">
        <v>1932</v>
      </c>
      <c r="H244" s="19">
        <v>301.97979106752899</v>
      </c>
      <c r="I244" s="20">
        <f t="shared" si="6"/>
        <v>0.15630423968298601</v>
      </c>
      <c r="J244" s="17" t="str">
        <f t="shared" si="7"/>
        <v>Low</v>
      </c>
    </row>
    <row r="245" spans="1:10" ht="15" customHeight="1" x14ac:dyDescent="0.35">
      <c r="A245" s="21">
        <v>45107</v>
      </c>
      <c r="B245" s="22" t="s">
        <v>24</v>
      </c>
      <c r="C245" s="22" t="s">
        <v>30</v>
      </c>
      <c r="D245" s="22" t="s">
        <v>20</v>
      </c>
      <c r="E245" s="23">
        <v>49</v>
      </c>
      <c r="F245" s="23">
        <v>569</v>
      </c>
      <c r="G245" s="23">
        <v>27881</v>
      </c>
      <c r="H245" s="24">
        <v>7654.7499601886402</v>
      </c>
      <c r="I245" s="25">
        <f t="shared" si="6"/>
        <v>0.27455076791322552</v>
      </c>
      <c r="J245" s="22" t="str">
        <f t="shared" si="7"/>
        <v>Medium</v>
      </c>
    </row>
    <row r="246" spans="1:10" ht="15" customHeight="1" x14ac:dyDescent="0.35">
      <c r="A246" s="16">
        <v>45169</v>
      </c>
      <c r="B246" s="17" t="s">
        <v>18</v>
      </c>
      <c r="C246" s="17" t="s">
        <v>30</v>
      </c>
      <c r="D246" s="17" t="s">
        <v>20</v>
      </c>
      <c r="E246" s="18">
        <v>13</v>
      </c>
      <c r="F246" s="18">
        <v>348</v>
      </c>
      <c r="G246" s="18">
        <v>4524</v>
      </c>
      <c r="H246" s="19">
        <v>554.26273724472105</v>
      </c>
      <c r="I246" s="20">
        <f t="shared" si="6"/>
        <v>0.1225160780823875</v>
      </c>
      <c r="J246" s="17" t="str">
        <f t="shared" si="7"/>
        <v>Low</v>
      </c>
    </row>
    <row r="247" spans="1:10" ht="15" customHeight="1" x14ac:dyDescent="0.35">
      <c r="A247" s="21">
        <v>45077</v>
      </c>
      <c r="B247" s="22" t="s">
        <v>18</v>
      </c>
      <c r="C247" s="22" t="s">
        <v>19</v>
      </c>
      <c r="D247" s="22" t="s">
        <v>21</v>
      </c>
      <c r="E247" s="23">
        <v>4</v>
      </c>
      <c r="F247" s="23">
        <v>1899</v>
      </c>
      <c r="G247" s="23">
        <v>7596</v>
      </c>
      <c r="H247" s="24">
        <v>1828.6397369584399</v>
      </c>
      <c r="I247" s="25">
        <f t="shared" si="6"/>
        <v>0.24073719549215902</v>
      </c>
      <c r="J247" s="22" t="str">
        <f t="shared" si="7"/>
        <v>Low</v>
      </c>
    </row>
    <row r="248" spans="1:10" ht="15" customHeight="1" x14ac:dyDescent="0.35">
      <c r="A248" s="16">
        <v>45046</v>
      </c>
      <c r="B248" s="17" t="s">
        <v>24</v>
      </c>
      <c r="C248" s="17" t="s">
        <v>27</v>
      </c>
      <c r="D248" s="17" t="s">
        <v>31</v>
      </c>
      <c r="E248" s="18">
        <v>26</v>
      </c>
      <c r="F248" s="18">
        <v>851</v>
      </c>
      <c r="G248" s="18">
        <v>22126</v>
      </c>
      <c r="H248" s="19">
        <v>4605.2988988490597</v>
      </c>
      <c r="I248" s="20">
        <f t="shared" si="6"/>
        <v>0.20813969532898219</v>
      </c>
      <c r="J248" s="17" t="str">
        <f t="shared" si="7"/>
        <v>Medium</v>
      </c>
    </row>
    <row r="249" spans="1:10" ht="15" customHeight="1" x14ac:dyDescent="0.35">
      <c r="A249" s="21">
        <v>44985</v>
      </c>
      <c r="B249" s="22" t="s">
        <v>24</v>
      </c>
      <c r="C249" s="22" t="s">
        <v>30</v>
      </c>
      <c r="D249" s="22" t="s">
        <v>21</v>
      </c>
      <c r="E249" s="23">
        <v>25</v>
      </c>
      <c r="F249" s="23">
        <v>1711</v>
      </c>
      <c r="G249" s="23">
        <v>42775</v>
      </c>
      <c r="H249" s="24">
        <v>5103.3523925219997</v>
      </c>
      <c r="I249" s="25">
        <f t="shared" si="6"/>
        <v>0.11930689403908824</v>
      </c>
      <c r="J249" s="22" t="str">
        <f t="shared" si="7"/>
        <v>Medium</v>
      </c>
    </row>
    <row r="250" spans="1:10" ht="15" customHeight="1" x14ac:dyDescent="0.35">
      <c r="A250" s="16">
        <v>45107</v>
      </c>
      <c r="B250" s="17" t="s">
        <v>24</v>
      </c>
      <c r="C250" s="17" t="s">
        <v>28</v>
      </c>
      <c r="D250" s="17" t="s">
        <v>25</v>
      </c>
      <c r="E250" s="18">
        <v>30</v>
      </c>
      <c r="F250" s="18">
        <v>969</v>
      </c>
      <c r="G250" s="18">
        <v>29070</v>
      </c>
      <c r="H250" s="19">
        <v>4313.3707174968904</v>
      </c>
      <c r="I250" s="20">
        <f t="shared" si="6"/>
        <v>0.1483787656517678</v>
      </c>
      <c r="J250" s="17" t="str">
        <f t="shared" si="7"/>
        <v>Medium</v>
      </c>
    </row>
    <row r="251" spans="1:10" ht="15" customHeight="1" x14ac:dyDescent="0.35">
      <c r="A251" s="21">
        <v>45107</v>
      </c>
      <c r="B251" s="22" t="s">
        <v>26</v>
      </c>
      <c r="C251" s="22" t="s">
        <v>30</v>
      </c>
      <c r="D251" s="22" t="s">
        <v>25</v>
      </c>
      <c r="E251" s="23">
        <v>11</v>
      </c>
      <c r="F251" s="23">
        <v>573</v>
      </c>
      <c r="G251" s="23">
        <v>6303</v>
      </c>
      <c r="H251" s="24">
        <v>645.93652813118297</v>
      </c>
      <c r="I251" s="25">
        <f t="shared" si="6"/>
        <v>0.10248080725546295</v>
      </c>
      <c r="J251" s="22" t="str">
        <f t="shared" si="7"/>
        <v>Low</v>
      </c>
    </row>
    <row r="252" spans="1:10" ht="15" customHeight="1" x14ac:dyDescent="0.35">
      <c r="A252" s="16">
        <v>45260</v>
      </c>
      <c r="B252" s="17" t="s">
        <v>29</v>
      </c>
      <c r="C252" s="17" t="s">
        <v>22</v>
      </c>
      <c r="D252" s="17" t="s">
        <v>23</v>
      </c>
      <c r="E252" s="18">
        <v>7</v>
      </c>
      <c r="F252" s="18">
        <v>980</v>
      </c>
      <c r="G252" s="18">
        <v>6860</v>
      </c>
      <c r="H252" s="19">
        <v>1329.1496486173</v>
      </c>
      <c r="I252" s="20">
        <f t="shared" si="6"/>
        <v>0.19375359309290088</v>
      </c>
      <c r="J252" s="17" t="str">
        <f t="shared" si="7"/>
        <v>Low</v>
      </c>
    </row>
    <row r="253" spans="1:10" ht="15" customHeight="1" x14ac:dyDescent="0.35">
      <c r="A253" s="21">
        <v>44957</v>
      </c>
      <c r="B253" s="22" t="s">
        <v>26</v>
      </c>
      <c r="C253" s="22" t="s">
        <v>22</v>
      </c>
      <c r="D253" s="22" t="s">
        <v>23</v>
      </c>
      <c r="E253" s="23">
        <v>31</v>
      </c>
      <c r="F253" s="23">
        <v>1916</v>
      </c>
      <c r="G253" s="23">
        <v>59396</v>
      </c>
      <c r="H253" s="24">
        <v>9518.3902856202003</v>
      </c>
      <c r="I253" s="25">
        <f t="shared" si="6"/>
        <v>0.16025305215200014</v>
      </c>
      <c r="J253" s="22" t="str">
        <f t="shared" si="7"/>
        <v>High</v>
      </c>
    </row>
    <row r="254" spans="1:10" ht="15" customHeight="1" x14ac:dyDescent="0.35">
      <c r="A254" s="16">
        <v>45199</v>
      </c>
      <c r="B254" s="17" t="s">
        <v>29</v>
      </c>
      <c r="C254" s="17" t="s">
        <v>27</v>
      </c>
      <c r="D254" s="17" t="s">
        <v>25</v>
      </c>
      <c r="E254" s="18">
        <v>44</v>
      </c>
      <c r="F254" s="18">
        <v>359</v>
      </c>
      <c r="G254" s="18">
        <v>15796</v>
      </c>
      <c r="H254" s="19">
        <v>3469.9309643934798</v>
      </c>
      <c r="I254" s="20">
        <f t="shared" si="6"/>
        <v>0.21967149685955178</v>
      </c>
      <c r="J254" s="17" t="str">
        <f t="shared" si="7"/>
        <v>Low</v>
      </c>
    </row>
    <row r="255" spans="1:10" ht="15" customHeight="1" x14ac:dyDescent="0.35">
      <c r="A255" s="21">
        <v>45291</v>
      </c>
      <c r="B255" s="22" t="s">
        <v>26</v>
      </c>
      <c r="C255" s="22" t="s">
        <v>19</v>
      </c>
      <c r="D255" s="22" t="s">
        <v>25</v>
      </c>
      <c r="E255" s="23">
        <v>10</v>
      </c>
      <c r="F255" s="23">
        <v>550</v>
      </c>
      <c r="G255" s="23">
        <v>5500</v>
      </c>
      <c r="H255" s="24">
        <v>876.96158847947902</v>
      </c>
      <c r="I255" s="25">
        <f t="shared" si="6"/>
        <v>0.15944756154172346</v>
      </c>
      <c r="J255" s="22" t="str">
        <f t="shared" si="7"/>
        <v>Low</v>
      </c>
    </row>
    <row r="256" spans="1:10" ht="15" customHeight="1" x14ac:dyDescent="0.35">
      <c r="A256" s="16">
        <v>45260</v>
      </c>
      <c r="B256" s="17" t="s">
        <v>29</v>
      </c>
      <c r="C256" s="17" t="s">
        <v>27</v>
      </c>
      <c r="D256" s="17" t="s">
        <v>25</v>
      </c>
      <c r="E256" s="18">
        <v>39</v>
      </c>
      <c r="F256" s="18">
        <v>1511</v>
      </c>
      <c r="G256" s="18">
        <v>58929</v>
      </c>
      <c r="H256" s="19">
        <v>9427.6866643990197</v>
      </c>
      <c r="I256" s="20">
        <f t="shared" si="6"/>
        <v>0.15998382230139693</v>
      </c>
      <c r="J256" s="17" t="str">
        <f t="shared" si="7"/>
        <v>High</v>
      </c>
    </row>
    <row r="257" spans="1:10" ht="15" customHeight="1" x14ac:dyDescent="0.35">
      <c r="A257" s="21">
        <v>45107</v>
      </c>
      <c r="B257" s="22" t="s">
        <v>26</v>
      </c>
      <c r="C257" s="22" t="s">
        <v>27</v>
      </c>
      <c r="D257" s="22" t="s">
        <v>21</v>
      </c>
      <c r="E257" s="23">
        <v>13</v>
      </c>
      <c r="F257" s="23">
        <v>1511</v>
      </c>
      <c r="G257" s="23">
        <v>19643</v>
      </c>
      <c r="H257" s="24">
        <v>4884.0088005369798</v>
      </c>
      <c r="I257" s="25">
        <f t="shared" si="6"/>
        <v>0.24863863974632081</v>
      </c>
      <c r="J257" s="22" t="str">
        <f t="shared" si="7"/>
        <v>Low</v>
      </c>
    </row>
    <row r="258" spans="1:10" ht="15" customHeight="1" x14ac:dyDescent="0.35">
      <c r="A258" s="16">
        <v>45016</v>
      </c>
      <c r="B258" s="17" t="s">
        <v>24</v>
      </c>
      <c r="C258" s="17" t="s">
        <v>27</v>
      </c>
      <c r="D258" s="17" t="s">
        <v>25</v>
      </c>
      <c r="E258" s="18">
        <v>31</v>
      </c>
      <c r="F258" s="18">
        <v>1091</v>
      </c>
      <c r="G258" s="18">
        <v>33821</v>
      </c>
      <c r="H258" s="19">
        <v>3707.7477711247798</v>
      </c>
      <c r="I258" s="20">
        <f t="shared" ref="I258:I321" si="8">IFERROR(H258/G258,0)</f>
        <v>0.10962856719567073</v>
      </c>
      <c r="J258" s="17" t="str">
        <f t="shared" ref="J258:J321" si="9">IF(G258&gt;=50000,"High",IF(G258&gt;=20000,"Medium","Low"))</f>
        <v>Medium</v>
      </c>
    </row>
    <row r="259" spans="1:10" ht="15" customHeight="1" x14ac:dyDescent="0.35">
      <c r="A259" s="21">
        <v>45046</v>
      </c>
      <c r="B259" s="22" t="s">
        <v>18</v>
      </c>
      <c r="C259" s="22" t="s">
        <v>27</v>
      </c>
      <c r="D259" s="22" t="s">
        <v>20</v>
      </c>
      <c r="E259" s="23">
        <v>7</v>
      </c>
      <c r="F259" s="23">
        <v>1449</v>
      </c>
      <c r="G259" s="23">
        <v>10143</v>
      </c>
      <c r="H259" s="24">
        <v>2845.9127872464701</v>
      </c>
      <c r="I259" s="25">
        <f t="shared" si="8"/>
        <v>0.28057899903839789</v>
      </c>
      <c r="J259" s="22" t="str">
        <f t="shared" si="9"/>
        <v>Low</v>
      </c>
    </row>
    <row r="260" spans="1:10" ht="15" customHeight="1" x14ac:dyDescent="0.35">
      <c r="A260" s="16">
        <v>45291</v>
      </c>
      <c r="B260" s="17" t="s">
        <v>26</v>
      </c>
      <c r="C260" s="17" t="s">
        <v>28</v>
      </c>
      <c r="D260" s="17" t="s">
        <v>31</v>
      </c>
      <c r="E260" s="18">
        <v>49</v>
      </c>
      <c r="F260" s="18">
        <v>722</v>
      </c>
      <c r="G260" s="18">
        <v>35378</v>
      </c>
      <c r="H260" s="19">
        <v>9568.0782696422393</v>
      </c>
      <c r="I260" s="20">
        <f t="shared" si="8"/>
        <v>0.27045277487823616</v>
      </c>
      <c r="J260" s="17" t="str">
        <f t="shared" si="9"/>
        <v>Medium</v>
      </c>
    </row>
    <row r="261" spans="1:10" ht="15" customHeight="1" x14ac:dyDescent="0.35">
      <c r="A261" s="21">
        <v>45260</v>
      </c>
      <c r="B261" s="22" t="s">
        <v>29</v>
      </c>
      <c r="C261" s="22" t="s">
        <v>28</v>
      </c>
      <c r="D261" s="22" t="s">
        <v>25</v>
      </c>
      <c r="E261" s="23">
        <v>42</v>
      </c>
      <c r="F261" s="23">
        <v>721</v>
      </c>
      <c r="G261" s="23">
        <v>30282</v>
      </c>
      <c r="H261" s="24">
        <v>7072.6922834924098</v>
      </c>
      <c r="I261" s="25">
        <f t="shared" si="8"/>
        <v>0.23356093664528135</v>
      </c>
      <c r="J261" s="22" t="str">
        <f t="shared" si="9"/>
        <v>Medium</v>
      </c>
    </row>
    <row r="262" spans="1:10" ht="15" customHeight="1" x14ac:dyDescent="0.35">
      <c r="A262" s="16">
        <v>45046</v>
      </c>
      <c r="B262" s="17" t="s">
        <v>24</v>
      </c>
      <c r="C262" s="17" t="s">
        <v>30</v>
      </c>
      <c r="D262" s="17" t="s">
        <v>31</v>
      </c>
      <c r="E262" s="18">
        <v>42</v>
      </c>
      <c r="F262" s="18">
        <v>982</v>
      </c>
      <c r="G262" s="18">
        <v>41244</v>
      </c>
      <c r="H262" s="19">
        <v>9017.76608750179</v>
      </c>
      <c r="I262" s="20">
        <f t="shared" si="8"/>
        <v>0.21864431402147683</v>
      </c>
      <c r="J262" s="17" t="str">
        <f t="shared" si="9"/>
        <v>Medium</v>
      </c>
    </row>
    <row r="263" spans="1:10" ht="15" customHeight="1" x14ac:dyDescent="0.35">
      <c r="A263" s="21">
        <v>45016</v>
      </c>
      <c r="B263" s="22" t="s">
        <v>26</v>
      </c>
      <c r="C263" s="22" t="s">
        <v>22</v>
      </c>
      <c r="D263" s="22" t="s">
        <v>21</v>
      </c>
      <c r="E263" s="23">
        <v>36</v>
      </c>
      <c r="F263" s="23">
        <v>472</v>
      </c>
      <c r="G263" s="23">
        <v>16992</v>
      </c>
      <c r="H263" s="24">
        <v>4731.6008096777896</v>
      </c>
      <c r="I263" s="25">
        <f t="shared" si="8"/>
        <v>0.27846049962793018</v>
      </c>
      <c r="J263" s="22" t="str">
        <f t="shared" si="9"/>
        <v>Low</v>
      </c>
    </row>
    <row r="264" spans="1:10" ht="15" customHeight="1" x14ac:dyDescent="0.35">
      <c r="A264" s="16">
        <v>45230</v>
      </c>
      <c r="B264" s="17" t="s">
        <v>26</v>
      </c>
      <c r="C264" s="17" t="s">
        <v>27</v>
      </c>
      <c r="D264" s="17" t="s">
        <v>31</v>
      </c>
      <c r="E264" s="18">
        <v>20</v>
      </c>
      <c r="F264" s="18">
        <v>1135</v>
      </c>
      <c r="G264" s="18">
        <v>22700</v>
      </c>
      <c r="H264" s="19">
        <v>3111.3990150603599</v>
      </c>
      <c r="I264" s="20">
        <f t="shared" si="8"/>
        <v>0.13706603590574273</v>
      </c>
      <c r="J264" s="17" t="str">
        <f t="shared" si="9"/>
        <v>Medium</v>
      </c>
    </row>
    <row r="265" spans="1:10" ht="15" customHeight="1" x14ac:dyDescent="0.35">
      <c r="A265" s="21">
        <v>45016</v>
      </c>
      <c r="B265" s="22" t="s">
        <v>24</v>
      </c>
      <c r="C265" s="22" t="s">
        <v>30</v>
      </c>
      <c r="D265" s="22" t="s">
        <v>21</v>
      </c>
      <c r="E265" s="23">
        <v>4</v>
      </c>
      <c r="F265" s="23">
        <v>1625</v>
      </c>
      <c r="G265" s="23">
        <v>6500</v>
      </c>
      <c r="H265" s="24">
        <v>752.65991084807695</v>
      </c>
      <c r="I265" s="25">
        <f t="shared" si="8"/>
        <v>0.11579383243816568</v>
      </c>
      <c r="J265" s="22" t="str">
        <f t="shared" si="9"/>
        <v>Low</v>
      </c>
    </row>
    <row r="266" spans="1:10" ht="15" customHeight="1" x14ac:dyDescent="0.35">
      <c r="A266" s="16">
        <v>45016</v>
      </c>
      <c r="B266" s="17" t="s">
        <v>26</v>
      </c>
      <c r="C266" s="17" t="s">
        <v>22</v>
      </c>
      <c r="D266" s="17" t="s">
        <v>20</v>
      </c>
      <c r="E266" s="18">
        <v>7</v>
      </c>
      <c r="F266" s="18">
        <v>382</v>
      </c>
      <c r="G266" s="18">
        <v>2674</v>
      </c>
      <c r="H266" s="19">
        <v>395.49003886762102</v>
      </c>
      <c r="I266" s="20">
        <f t="shared" si="8"/>
        <v>0.14790203398190763</v>
      </c>
      <c r="J266" s="17" t="str">
        <f t="shared" si="9"/>
        <v>Low</v>
      </c>
    </row>
    <row r="267" spans="1:10" ht="15" customHeight="1" x14ac:dyDescent="0.35">
      <c r="A267" s="21">
        <v>45046</v>
      </c>
      <c r="B267" s="22" t="s">
        <v>18</v>
      </c>
      <c r="C267" s="22" t="s">
        <v>19</v>
      </c>
      <c r="D267" s="22" t="s">
        <v>21</v>
      </c>
      <c r="E267" s="23">
        <v>1</v>
      </c>
      <c r="F267" s="23">
        <v>1888</v>
      </c>
      <c r="G267" s="23">
        <v>1888</v>
      </c>
      <c r="H267" s="24">
        <v>488.83275803719198</v>
      </c>
      <c r="I267" s="25">
        <f t="shared" si="8"/>
        <v>0.25891565574003811</v>
      </c>
      <c r="J267" s="22" t="str">
        <f t="shared" si="9"/>
        <v>Low</v>
      </c>
    </row>
    <row r="268" spans="1:10" ht="15" customHeight="1" x14ac:dyDescent="0.35">
      <c r="A268" s="16">
        <v>45138</v>
      </c>
      <c r="B268" s="17" t="s">
        <v>26</v>
      </c>
      <c r="C268" s="17" t="s">
        <v>28</v>
      </c>
      <c r="D268" s="17" t="s">
        <v>21</v>
      </c>
      <c r="E268" s="18">
        <v>44</v>
      </c>
      <c r="F268" s="18">
        <v>687</v>
      </c>
      <c r="G268" s="18">
        <v>30228</v>
      </c>
      <c r="H268" s="19">
        <v>3232.4025645216302</v>
      </c>
      <c r="I268" s="20">
        <f t="shared" si="8"/>
        <v>0.10693405334529675</v>
      </c>
      <c r="J268" s="17" t="str">
        <f t="shared" si="9"/>
        <v>Medium</v>
      </c>
    </row>
    <row r="269" spans="1:10" ht="15" customHeight="1" x14ac:dyDescent="0.35">
      <c r="A269" s="21">
        <v>45046</v>
      </c>
      <c r="B269" s="22" t="s">
        <v>18</v>
      </c>
      <c r="C269" s="22" t="s">
        <v>22</v>
      </c>
      <c r="D269" s="22" t="s">
        <v>23</v>
      </c>
      <c r="E269" s="23">
        <v>45</v>
      </c>
      <c r="F269" s="23">
        <v>1045</v>
      </c>
      <c r="G269" s="23">
        <v>47025</v>
      </c>
      <c r="H269" s="24">
        <v>10183.798283960199</v>
      </c>
      <c r="I269" s="25">
        <f t="shared" si="8"/>
        <v>0.21656136701669748</v>
      </c>
      <c r="J269" s="22" t="str">
        <f t="shared" si="9"/>
        <v>Medium</v>
      </c>
    </row>
    <row r="270" spans="1:10" ht="15" customHeight="1" x14ac:dyDescent="0.35">
      <c r="A270" s="16">
        <v>45199</v>
      </c>
      <c r="B270" s="17" t="s">
        <v>18</v>
      </c>
      <c r="C270" s="17" t="s">
        <v>19</v>
      </c>
      <c r="D270" s="17" t="s">
        <v>25</v>
      </c>
      <c r="E270" s="18">
        <v>42</v>
      </c>
      <c r="F270" s="18">
        <v>323</v>
      </c>
      <c r="G270" s="18">
        <v>13566</v>
      </c>
      <c r="H270" s="19">
        <v>4057.4210689302599</v>
      </c>
      <c r="I270" s="20">
        <f t="shared" si="8"/>
        <v>0.29908750323826183</v>
      </c>
      <c r="J270" s="17" t="str">
        <f t="shared" si="9"/>
        <v>Low</v>
      </c>
    </row>
    <row r="271" spans="1:10" ht="15" customHeight="1" x14ac:dyDescent="0.35">
      <c r="A271" s="21">
        <v>44957</v>
      </c>
      <c r="B271" s="22" t="s">
        <v>24</v>
      </c>
      <c r="C271" s="22" t="s">
        <v>22</v>
      </c>
      <c r="D271" s="22" t="s">
        <v>25</v>
      </c>
      <c r="E271" s="23">
        <v>47</v>
      </c>
      <c r="F271" s="23">
        <v>1184</v>
      </c>
      <c r="G271" s="23">
        <v>55648</v>
      </c>
      <c r="H271" s="24">
        <v>15088.3552459743</v>
      </c>
      <c r="I271" s="25">
        <f t="shared" si="8"/>
        <v>0.27113921876750829</v>
      </c>
      <c r="J271" s="22" t="str">
        <f t="shared" si="9"/>
        <v>High</v>
      </c>
    </row>
    <row r="272" spans="1:10" ht="15" customHeight="1" x14ac:dyDescent="0.35">
      <c r="A272" s="16">
        <v>45169</v>
      </c>
      <c r="B272" s="17" t="s">
        <v>26</v>
      </c>
      <c r="C272" s="17" t="s">
        <v>28</v>
      </c>
      <c r="D272" s="17" t="s">
        <v>20</v>
      </c>
      <c r="E272" s="18">
        <v>13</v>
      </c>
      <c r="F272" s="18">
        <v>1849</v>
      </c>
      <c r="G272" s="18">
        <v>24037</v>
      </c>
      <c r="H272" s="19">
        <v>4910.4980055081496</v>
      </c>
      <c r="I272" s="20">
        <f t="shared" si="8"/>
        <v>0.2042891378087178</v>
      </c>
      <c r="J272" s="17" t="str">
        <f t="shared" si="9"/>
        <v>Medium</v>
      </c>
    </row>
    <row r="273" spans="1:10" ht="15" customHeight="1" x14ac:dyDescent="0.35">
      <c r="A273" s="21">
        <v>45138</v>
      </c>
      <c r="B273" s="22" t="s">
        <v>24</v>
      </c>
      <c r="C273" s="22" t="s">
        <v>28</v>
      </c>
      <c r="D273" s="22" t="s">
        <v>20</v>
      </c>
      <c r="E273" s="23">
        <v>22</v>
      </c>
      <c r="F273" s="23">
        <v>989</v>
      </c>
      <c r="G273" s="23">
        <v>21758</v>
      </c>
      <c r="H273" s="24">
        <v>2452.7397808517499</v>
      </c>
      <c r="I273" s="25">
        <f t="shared" si="8"/>
        <v>0.11272818185732833</v>
      </c>
      <c r="J273" s="22" t="str">
        <f t="shared" si="9"/>
        <v>Medium</v>
      </c>
    </row>
    <row r="274" spans="1:10" ht="15" customHeight="1" x14ac:dyDescent="0.35">
      <c r="A274" s="16">
        <v>44985</v>
      </c>
      <c r="B274" s="17" t="s">
        <v>26</v>
      </c>
      <c r="C274" s="17" t="s">
        <v>30</v>
      </c>
      <c r="D274" s="17" t="s">
        <v>25</v>
      </c>
      <c r="E274" s="18">
        <v>21</v>
      </c>
      <c r="F274" s="18">
        <v>613</v>
      </c>
      <c r="G274" s="18">
        <v>12873</v>
      </c>
      <c r="H274" s="19">
        <v>3427.7542501374501</v>
      </c>
      <c r="I274" s="20">
        <f t="shared" si="8"/>
        <v>0.26627470287714211</v>
      </c>
      <c r="J274" s="17" t="str">
        <f t="shared" si="9"/>
        <v>Low</v>
      </c>
    </row>
    <row r="275" spans="1:10" ht="15" customHeight="1" x14ac:dyDescent="0.35">
      <c r="A275" s="21">
        <v>45169</v>
      </c>
      <c r="B275" s="22" t="s">
        <v>26</v>
      </c>
      <c r="C275" s="22" t="s">
        <v>27</v>
      </c>
      <c r="D275" s="22" t="s">
        <v>23</v>
      </c>
      <c r="E275" s="23">
        <v>22</v>
      </c>
      <c r="F275" s="23">
        <v>1948</v>
      </c>
      <c r="G275" s="23">
        <v>42856</v>
      </c>
      <c r="H275" s="24">
        <v>9419.5645892885095</v>
      </c>
      <c r="I275" s="25">
        <f t="shared" si="8"/>
        <v>0.21979570163544218</v>
      </c>
      <c r="J275" s="22" t="str">
        <f t="shared" si="9"/>
        <v>Medium</v>
      </c>
    </row>
    <row r="276" spans="1:10" ht="15" customHeight="1" x14ac:dyDescent="0.35">
      <c r="A276" s="16">
        <v>44957</v>
      </c>
      <c r="B276" s="17" t="s">
        <v>29</v>
      </c>
      <c r="C276" s="17" t="s">
        <v>22</v>
      </c>
      <c r="D276" s="17" t="s">
        <v>25</v>
      </c>
      <c r="E276" s="18">
        <v>28</v>
      </c>
      <c r="F276" s="18">
        <v>1395</v>
      </c>
      <c r="G276" s="18">
        <v>39060</v>
      </c>
      <c r="H276" s="19">
        <v>4803.8565730293403</v>
      </c>
      <c r="I276" s="20">
        <f t="shared" si="8"/>
        <v>0.12298659941191348</v>
      </c>
      <c r="J276" s="17" t="str">
        <f t="shared" si="9"/>
        <v>Medium</v>
      </c>
    </row>
    <row r="277" spans="1:10" ht="15" customHeight="1" x14ac:dyDescent="0.35">
      <c r="A277" s="21">
        <v>45260</v>
      </c>
      <c r="B277" s="22" t="s">
        <v>26</v>
      </c>
      <c r="C277" s="22" t="s">
        <v>22</v>
      </c>
      <c r="D277" s="22" t="s">
        <v>23</v>
      </c>
      <c r="E277" s="23">
        <v>9</v>
      </c>
      <c r="F277" s="23">
        <v>1511</v>
      </c>
      <c r="G277" s="23">
        <v>13599</v>
      </c>
      <c r="H277" s="24">
        <v>1615.17304326256</v>
      </c>
      <c r="I277" s="25">
        <f t="shared" si="8"/>
        <v>0.11877145696467092</v>
      </c>
      <c r="J277" s="22" t="str">
        <f t="shared" si="9"/>
        <v>Low</v>
      </c>
    </row>
    <row r="278" spans="1:10" ht="15" customHeight="1" x14ac:dyDescent="0.35">
      <c r="A278" s="16">
        <v>45291</v>
      </c>
      <c r="B278" s="17" t="s">
        <v>24</v>
      </c>
      <c r="C278" s="17" t="s">
        <v>19</v>
      </c>
      <c r="D278" s="17" t="s">
        <v>20</v>
      </c>
      <c r="E278" s="18">
        <v>26</v>
      </c>
      <c r="F278" s="18">
        <v>1658</v>
      </c>
      <c r="G278" s="18">
        <v>43108</v>
      </c>
      <c r="H278" s="19">
        <v>12153.238586454499</v>
      </c>
      <c r="I278" s="20">
        <f t="shared" si="8"/>
        <v>0.28192536388731787</v>
      </c>
      <c r="J278" s="17" t="str">
        <f t="shared" si="9"/>
        <v>Medium</v>
      </c>
    </row>
    <row r="279" spans="1:10" ht="15" customHeight="1" x14ac:dyDescent="0.35">
      <c r="A279" s="21">
        <v>45199</v>
      </c>
      <c r="B279" s="22" t="s">
        <v>18</v>
      </c>
      <c r="C279" s="22" t="s">
        <v>28</v>
      </c>
      <c r="D279" s="22" t="s">
        <v>31</v>
      </c>
      <c r="E279" s="23">
        <v>9</v>
      </c>
      <c r="F279" s="23">
        <v>885</v>
      </c>
      <c r="G279" s="23">
        <v>7965</v>
      </c>
      <c r="H279" s="24">
        <v>1862.5360188603599</v>
      </c>
      <c r="I279" s="25">
        <f t="shared" si="8"/>
        <v>0.23384005258761581</v>
      </c>
      <c r="J279" s="22" t="str">
        <f t="shared" si="9"/>
        <v>Low</v>
      </c>
    </row>
    <row r="280" spans="1:10" ht="15" customHeight="1" x14ac:dyDescent="0.35">
      <c r="A280" s="16">
        <v>45199</v>
      </c>
      <c r="B280" s="17" t="s">
        <v>26</v>
      </c>
      <c r="C280" s="17" t="s">
        <v>22</v>
      </c>
      <c r="D280" s="17" t="s">
        <v>20</v>
      </c>
      <c r="E280" s="18">
        <v>15</v>
      </c>
      <c r="F280" s="18">
        <v>312</v>
      </c>
      <c r="G280" s="18">
        <v>4680</v>
      </c>
      <c r="H280" s="19">
        <v>1244.2124441604799</v>
      </c>
      <c r="I280" s="20">
        <f t="shared" si="8"/>
        <v>0.26585735986335041</v>
      </c>
      <c r="J280" s="17" t="str">
        <f t="shared" si="9"/>
        <v>Low</v>
      </c>
    </row>
    <row r="281" spans="1:10" ht="15" customHeight="1" x14ac:dyDescent="0.35">
      <c r="A281" s="21">
        <v>44985</v>
      </c>
      <c r="B281" s="22" t="s">
        <v>29</v>
      </c>
      <c r="C281" s="22" t="s">
        <v>28</v>
      </c>
      <c r="D281" s="22" t="s">
        <v>20</v>
      </c>
      <c r="E281" s="23">
        <v>10</v>
      </c>
      <c r="F281" s="23">
        <v>1087</v>
      </c>
      <c r="G281" s="23">
        <v>10870</v>
      </c>
      <c r="H281" s="24">
        <v>2997.90012921365</v>
      </c>
      <c r="I281" s="25">
        <f t="shared" si="8"/>
        <v>0.27579578005645355</v>
      </c>
      <c r="J281" s="22" t="str">
        <f t="shared" si="9"/>
        <v>Low</v>
      </c>
    </row>
    <row r="282" spans="1:10" ht="15" customHeight="1" x14ac:dyDescent="0.35">
      <c r="A282" s="16">
        <v>45138</v>
      </c>
      <c r="B282" s="17" t="s">
        <v>24</v>
      </c>
      <c r="C282" s="17" t="s">
        <v>22</v>
      </c>
      <c r="D282" s="17" t="s">
        <v>21</v>
      </c>
      <c r="E282" s="18">
        <v>24</v>
      </c>
      <c r="F282" s="18">
        <v>321</v>
      </c>
      <c r="G282" s="18">
        <v>7704</v>
      </c>
      <c r="H282" s="19">
        <v>1651.38684003606</v>
      </c>
      <c r="I282" s="20">
        <f t="shared" si="8"/>
        <v>0.2143544704096651</v>
      </c>
      <c r="J282" s="17" t="str">
        <f t="shared" si="9"/>
        <v>Low</v>
      </c>
    </row>
    <row r="283" spans="1:10" ht="15" customHeight="1" x14ac:dyDescent="0.35">
      <c r="A283" s="21">
        <v>45230</v>
      </c>
      <c r="B283" s="22" t="s">
        <v>26</v>
      </c>
      <c r="C283" s="22" t="s">
        <v>30</v>
      </c>
      <c r="D283" s="22" t="s">
        <v>21</v>
      </c>
      <c r="E283" s="23">
        <v>42</v>
      </c>
      <c r="F283" s="23">
        <v>1767</v>
      </c>
      <c r="G283" s="23">
        <v>74214</v>
      </c>
      <c r="H283" s="24">
        <v>15101.7527098297</v>
      </c>
      <c r="I283" s="25">
        <f t="shared" si="8"/>
        <v>0.20348927035100789</v>
      </c>
      <c r="J283" s="22" t="str">
        <f t="shared" si="9"/>
        <v>High</v>
      </c>
    </row>
    <row r="284" spans="1:10" ht="15" customHeight="1" x14ac:dyDescent="0.35">
      <c r="A284" s="16">
        <v>45016</v>
      </c>
      <c r="B284" s="17" t="s">
        <v>24</v>
      </c>
      <c r="C284" s="17" t="s">
        <v>27</v>
      </c>
      <c r="D284" s="17" t="s">
        <v>21</v>
      </c>
      <c r="E284" s="18">
        <v>8</v>
      </c>
      <c r="F284" s="18">
        <v>1445</v>
      </c>
      <c r="G284" s="18">
        <v>11560</v>
      </c>
      <c r="H284" s="19">
        <v>2151.14817266213</v>
      </c>
      <c r="I284" s="20">
        <f t="shared" si="8"/>
        <v>0.18608548206419809</v>
      </c>
      <c r="J284" s="17" t="str">
        <f t="shared" si="9"/>
        <v>Low</v>
      </c>
    </row>
    <row r="285" spans="1:10" ht="15" customHeight="1" x14ac:dyDescent="0.35">
      <c r="A285" s="21">
        <v>45138</v>
      </c>
      <c r="B285" s="22" t="s">
        <v>29</v>
      </c>
      <c r="C285" s="22" t="s">
        <v>22</v>
      </c>
      <c r="D285" s="22" t="s">
        <v>21</v>
      </c>
      <c r="E285" s="23">
        <v>24</v>
      </c>
      <c r="F285" s="23">
        <v>1854</v>
      </c>
      <c r="G285" s="23">
        <v>44496</v>
      </c>
      <c r="H285" s="24">
        <v>7270.1710740707304</v>
      </c>
      <c r="I285" s="25">
        <f t="shared" si="8"/>
        <v>0.16338931755822389</v>
      </c>
      <c r="J285" s="22" t="str">
        <f t="shared" si="9"/>
        <v>Medium</v>
      </c>
    </row>
    <row r="286" spans="1:10" ht="15" customHeight="1" x14ac:dyDescent="0.35">
      <c r="A286" s="16">
        <v>45291</v>
      </c>
      <c r="B286" s="17" t="s">
        <v>29</v>
      </c>
      <c r="C286" s="17" t="s">
        <v>28</v>
      </c>
      <c r="D286" s="17" t="s">
        <v>23</v>
      </c>
      <c r="E286" s="18">
        <v>16</v>
      </c>
      <c r="F286" s="18">
        <v>238</v>
      </c>
      <c r="G286" s="18">
        <v>3808</v>
      </c>
      <c r="H286" s="19">
        <v>711.78828378999503</v>
      </c>
      <c r="I286" s="20">
        <f t="shared" si="8"/>
        <v>0.18691919217174238</v>
      </c>
      <c r="J286" s="17" t="str">
        <f t="shared" si="9"/>
        <v>Low</v>
      </c>
    </row>
    <row r="287" spans="1:10" ht="15" customHeight="1" x14ac:dyDescent="0.35">
      <c r="A287" s="21">
        <v>45230</v>
      </c>
      <c r="B287" s="22" t="s">
        <v>24</v>
      </c>
      <c r="C287" s="22" t="s">
        <v>30</v>
      </c>
      <c r="D287" s="22" t="s">
        <v>25</v>
      </c>
      <c r="E287" s="23">
        <v>49</v>
      </c>
      <c r="F287" s="23">
        <v>696</v>
      </c>
      <c r="G287" s="23">
        <v>34104</v>
      </c>
      <c r="H287" s="24">
        <v>8688.8783558042505</v>
      </c>
      <c r="I287" s="25">
        <f t="shared" si="8"/>
        <v>0.25477593114603125</v>
      </c>
      <c r="J287" s="22" t="str">
        <f t="shared" si="9"/>
        <v>Medium</v>
      </c>
    </row>
    <row r="288" spans="1:10" ht="15" customHeight="1" x14ac:dyDescent="0.35">
      <c r="A288" s="16">
        <v>45199</v>
      </c>
      <c r="B288" s="17" t="s">
        <v>26</v>
      </c>
      <c r="C288" s="17" t="s">
        <v>22</v>
      </c>
      <c r="D288" s="17" t="s">
        <v>31</v>
      </c>
      <c r="E288" s="18">
        <v>26</v>
      </c>
      <c r="F288" s="18">
        <v>979</v>
      </c>
      <c r="G288" s="18">
        <v>25454</v>
      </c>
      <c r="H288" s="19">
        <v>5609.6718026118297</v>
      </c>
      <c r="I288" s="20">
        <f t="shared" si="8"/>
        <v>0.22038468620302623</v>
      </c>
      <c r="J288" s="17" t="str">
        <f t="shared" si="9"/>
        <v>Medium</v>
      </c>
    </row>
    <row r="289" spans="1:10" ht="15" customHeight="1" x14ac:dyDescent="0.35">
      <c r="A289" s="21">
        <v>45046</v>
      </c>
      <c r="B289" s="22" t="s">
        <v>18</v>
      </c>
      <c r="C289" s="22" t="s">
        <v>19</v>
      </c>
      <c r="D289" s="22" t="s">
        <v>20</v>
      </c>
      <c r="E289" s="23">
        <v>27</v>
      </c>
      <c r="F289" s="23">
        <v>1456</v>
      </c>
      <c r="G289" s="23">
        <v>39312</v>
      </c>
      <c r="H289" s="24">
        <v>10948.575114941001</v>
      </c>
      <c r="I289" s="25">
        <f t="shared" si="8"/>
        <v>0.27850465799096968</v>
      </c>
      <c r="J289" s="22" t="str">
        <f t="shared" si="9"/>
        <v>Medium</v>
      </c>
    </row>
    <row r="290" spans="1:10" ht="15" customHeight="1" x14ac:dyDescent="0.35">
      <c r="A290" s="16">
        <v>45291</v>
      </c>
      <c r="B290" s="17" t="s">
        <v>29</v>
      </c>
      <c r="C290" s="17" t="s">
        <v>27</v>
      </c>
      <c r="D290" s="17" t="s">
        <v>23</v>
      </c>
      <c r="E290" s="18">
        <v>37</v>
      </c>
      <c r="F290" s="18">
        <v>1142</v>
      </c>
      <c r="G290" s="18">
        <v>42254</v>
      </c>
      <c r="H290" s="19">
        <v>7972.3158255156404</v>
      </c>
      <c r="I290" s="20">
        <f t="shared" si="8"/>
        <v>0.18867600287583755</v>
      </c>
      <c r="J290" s="17" t="str">
        <f t="shared" si="9"/>
        <v>Medium</v>
      </c>
    </row>
    <row r="291" spans="1:10" ht="15" customHeight="1" x14ac:dyDescent="0.35">
      <c r="A291" s="21">
        <v>44957</v>
      </c>
      <c r="B291" s="22" t="s">
        <v>26</v>
      </c>
      <c r="C291" s="22" t="s">
        <v>22</v>
      </c>
      <c r="D291" s="22" t="s">
        <v>31</v>
      </c>
      <c r="E291" s="23">
        <v>4</v>
      </c>
      <c r="F291" s="23">
        <v>1753</v>
      </c>
      <c r="G291" s="23">
        <v>7012</v>
      </c>
      <c r="H291" s="24">
        <v>1552.5824251951799</v>
      </c>
      <c r="I291" s="25">
        <f t="shared" si="8"/>
        <v>0.22141791574375069</v>
      </c>
      <c r="J291" s="22" t="str">
        <f t="shared" si="9"/>
        <v>Low</v>
      </c>
    </row>
    <row r="292" spans="1:10" ht="15" customHeight="1" x14ac:dyDescent="0.35">
      <c r="A292" s="16">
        <v>44985</v>
      </c>
      <c r="B292" s="17" t="s">
        <v>26</v>
      </c>
      <c r="C292" s="17" t="s">
        <v>30</v>
      </c>
      <c r="D292" s="17" t="s">
        <v>23</v>
      </c>
      <c r="E292" s="18">
        <v>24</v>
      </c>
      <c r="F292" s="18">
        <v>348</v>
      </c>
      <c r="G292" s="18">
        <v>8352</v>
      </c>
      <c r="H292" s="19">
        <v>1889.73613668486</v>
      </c>
      <c r="I292" s="20">
        <f t="shared" si="8"/>
        <v>0.22626151061839797</v>
      </c>
      <c r="J292" s="17" t="str">
        <f t="shared" si="9"/>
        <v>Low</v>
      </c>
    </row>
    <row r="293" spans="1:10" ht="15" customHeight="1" x14ac:dyDescent="0.35">
      <c r="A293" s="21">
        <v>44957</v>
      </c>
      <c r="B293" s="22" t="s">
        <v>18</v>
      </c>
      <c r="C293" s="22" t="s">
        <v>19</v>
      </c>
      <c r="D293" s="22" t="s">
        <v>23</v>
      </c>
      <c r="E293" s="23">
        <v>19</v>
      </c>
      <c r="F293" s="23">
        <v>1620</v>
      </c>
      <c r="G293" s="23">
        <v>30780</v>
      </c>
      <c r="H293" s="24">
        <v>6720.4877311577402</v>
      </c>
      <c r="I293" s="25">
        <f t="shared" si="8"/>
        <v>0.21833943246126511</v>
      </c>
      <c r="J293" s="22" t="str">
        <f t="shared" si="9"/>
        <v>Medium</v>
      </c>
    </row>
    <row r="294" spans="1:10" ht="15" customHeight="1" x14ac:dyDescent="0.35">
      <c r="A294" s="16">
        <v>45291</v>
      </c>
      <c r="B294" s="17" t="s">
        <v>29</v>
      </c>
      <c r="C294" s="17" t="s">
        <v>30</v>
      </c>
      <c r="D294" s="17" t="s">
        <v>20</v>
      </c>
      <c r="E294" s="18">
        <v>36</v>
      </c>
      <c r="F294" s="18">
        <v>1221</v>
      </c>
      <c r="G294" s="18">
        <v>43956</v>
      </c>
      <c r="H294" s="19">
        <v>10572.5940259494</v>
      </c>
      <c r="I294" s="20">
        <f t="shared" si="8"/>
        <v>0.24052675461710346</v>
      </c>
      <c r="J294" s="17" t="str">
        <f t="shared" si="9"/>
        <v>Medium</v>
      </c>
    </row>
    <row r="295" spans="1:10" ht="15" customHeight="1" x14ac:dyDescent="0.35">
      <c r="A295" s="21">
        <v>45077</v>
      </c>
      <c r="B295" s="22" t="s">
        <v>29</v>
      </c>
      <c r="C295" s="22" t="s">
        <v>30</v>
      </c>
      <c r="D295" s="22" t="s">
        <v>25</v>
      </c>
      <c r="E295" s="23">
        <v>39</v>
      </c>
      <c r="F295" s="23">
        <v>860</v>
      </c>
      <c r="G295" s="23">
        <v>33540</v>
      </c>
      <c r="H295" s="24">
        <v>4946.7037058582</v>
      </c>
      <c r="I295" s="25">
        <f t="shared" si="8"/>
        <v>0.14748669367496123</v>
      </c>
      <c r="J295" s="22" t="str">
        <f t="shared" si="9"/>
        <v>Medium</v>
      </c>
    </row>
    <row r="296" spans="1:10" ht="15" customHeight="1" x14ac:dyDescent="0.35">
      <c r="A296" s="16">
        <v>45077</v>
      </c>
      <c r="B296" s="17" t="s">
        <v>26</v>
      </c>
      <c r="C296" s="17" t="s">
        <v>19</v>
      </c>
      <c r="D296" s="17" t="s">
        <v>21</v>
      </c>
      <c r="E296" s="18">
        <v>10</v>
      </c>
      <c r="F296" s="18">
        <v>1861</v>
      </c>
      <c r="G296" s="18">
        <v>18610</v>
      </c>
      <c r="H296" s="19">
        <v>3768.01798002543</v>
      </c>
      <c r="I296" s="20">
        <f t="shared" si="8"/>
        <v>0.20247275550915797</v>
      </c>
      <c r="J296" s="17" t="str">
        <f t="shared" si="9"/>
        <v>Low</v>
      </c>
    </row>
    <row r="297" spans="1:10" ht="15" customHeight="1" x14ac:dyDescent="0.35">
      <c r="A297" s="21">
        <v>45260</v>
      </c>
      <c r="B297" s="22" t="s">
        <v>26</v>
      </c>
      <c r="C297" s="22" t="s">
        <v>30</v>
      </c>
      <c r="D297" s="22" t="s">
        <v>25</v>
      </c>
      <c r="E297" s="23">
        <v>25</v>
      </c>
      <c r="F297" s="23">
        <v>501</v>
      </c>
      <c r="G297" s="23">
        <v>12525</v>
      </c>
      <c r="H297" s="24">
        <v>1513.5831310349099</v>
      </c>
      <c r="I297" s="25">
        <f t="shared" si="8"/>
        <v>0.12084496056166945</v>
      </c>
      <c r="J297" s="22" t="str">
        <f t="shared" si="9"/>
        <v>Low</v>
      </c>
    </row>
    <row r="298" spans="1:10" ht="15" customHeight="1" x14ac:dyDescent="0.35">
      <c r="A298" s="16">
        <v>45138</v>
      </c>
      <c r="B298" s="17" t="s">
        <v>18</v>
      </c>
      <c r="C298" s="17" t="s">
        <v>19</v>
      </c>
      <c r="D298" s="17" t="s">
        <v>20</v>
      </c>
      <c r="E298" s="18">
        <v>18</v>
      </c>
      <c r="F298" s="18">
        <v>1583</v>
      </c>
      <c r="G298" s="18">
        <v>28494</v>
      </c>
      <c r="H298" s="19">
        <v>5040.6531539822599</v>
      </c>
      <c r="I298" s="20">
        <f t="shared" si="8"/>
        <v>0.1769022655289626</v>
      </c>
      <c r="J298" s="17" t="str">
        <f t="shared" si="9"/>
        <v>Medium</v>
      </c>
    </row>
    <row r="299" spans="1:10" ht="15" customHeight="1" x14ac:dyDescent="0.35">
      <c r="A299" s="21">
        <v>45199</v>
      </c>
      <c r="B299" s="22" t="s">
        <v>18</v>
      </c>
      <c r="C299" s="22" t="s">
        <v>22</v>
      </c>
      <c r="D299" s="22" t="s">
        <v>20</v>
      </c>
      <c r="E299" s="23">
        <v>19</v>
      </c>
      <c r="F299" s="23">
        <v>437</v>
      </c>
      <c r="G299" s="23">
        <v>8303</v>
      </c>
      <c r="H299" s="24">
        <v>1640.11993415247</v>
      </c>
      <c r="I299" s="25">
        <f t="shared" si="8"/>
        <v>0.19753341372425268</v>
      </c>
      <c r="J299" s="22" t="str">
        <f t="shared" si="9"/>
        <v>Low</v>
      </c>
    </row>
    <row r="300" spans="1:10" ht="15" customHeight="1" x14ac:dyDescent="0.35">
      <c r="A300" s="16">
        <v>45199</v>
      </c>
      <c r="B300" s="17" t="s">
        <v>29</v>
      </c>
      <c r="C300" s="17" t="s">
        <v>19</v>
      </c>
      <c r="D300" s="17" t="s">
        <v>20</v>
      </c>
      <c r="E300" s="18">
        <v>36</v>
      </c>
      <c r="F300" s="18">
        <v>846</v>
      </c>
      <c r="G300" s="18">
        <v>30456</v>
      </c>
      <c r="H300" s="19">
        <v>7018.4284097433801</v>
      </c>
      <c r="I300" s="20">
        <f t="shared" si="8"/>
        <v>0.23044485190909444</v>
      </c>
      <c r="J300" s="17" t="str">
        <f t="shared" si="9"/>
        <v>Medium</v>
      </c>
    </row>
    <row r="301" spans="1:10" ht="15" customHeight="1" x14ac:dyDescent="0.35">
      <c r="A301" s="21">
        <v>45016</v>
      </c>
      <c r="B301" s="22" t="s">
        <v>24</v>
      </c>
      <c r="C301" s="22" t="s">
        <v>19</v>
      </c>
      <c r="D301" s="22" t="s">
        <v>31</v>
      </c>
      <c r="E301" s="23">
        <v>10</v>
      </c>
      <c r="F301" s="23">
        <v>862</v>
      </c>
      <c r="G301" s="23">
        <v>8620</v>
      </c>
      <c r="H301" s="24">
        <v>2500.7155346586201</v>
      </c>
      <c r="I301" s="25">
        <f t="shared" si="8"/>
        <v>0.29010621051724128</v>
      </c>
      <c r="J301" s="22" t="str">
        <f t="shared" si="9"/>
        <v>Low</v>
      </c>
    </row>
    <row r="302" spans="1:10" ht="15" customHeight="1" x14ac:dyDescent="0.35">
      <c r="A302" s="16">
        <v>45016</v>
      </c>
      <c r="B302" s="17" t="s">
        <v>29</v>
      </c>
      <c r="C302" s="17" t="s">
        <v>27</v>
      </c>
      <c r="D302" s="17" t="s">
        <v>25</v>
      </c>
      <c r="E302" s="18">
        <v>33</v>
      </c>
      <c r="F302" s="18">
        <v>435</v>
      </c>
      <c r="G302" s="18">
        <v>14355</v>
      </c>
      <c r="H302" s="19">
        <v>3159.9692120603299</v>
      </c>
      <c r="I302" s="20">
        <f t="shared" si="8"/>
        <v>0.2201302133096712</v>
      </c>
      <c r="J302" s="17" t="str">
        <f t="shared" si="9"/>
        <v>Low</v>
      </c>
    </row>
    <row r="303" spans="1:10" ht="15" customHeight="1" x14ac:dyDescent="0.35">
      <c r="A303" s="21">
        <v>45016</v>
      </c>
      <c r="B303" s="22" t="s">
        <v>26</v>
      </c>
      <c r="C303" s="22" t="s">
        <v>19</v>
      </c>
      <c r="D303" s="22" t="s">
        <v>25</v>
      </c>
      <c r="E303" s="23">
        <v>5</v>
      </c>
      <c r="F303" s="23">
        <v>1959</v>
      </c>
      <c r="G303" s="23">
        <v>9795</v>
      </c>
      <c r="H303" s="24">
        <v>2436.2004817898801</v>
      </c>
      <c r="I303" s="25">
        <f t="shared" si="8"/>
        <v>0.24871878323531191</v>
      </c>
      <c r="J303" s="22" t="str">
        <f t="shared" si="9"/>
        <v>Low</v>
      </c>
    </row>
    <row r="304" spans="1:10" ht="15" customHeight="1" x14ac:dyDescent="0.35">
      <c r="A304" s="16">
        <v>45046</v>
      </c>
      <c r="B304" s="17" t="s">
        <v>29</v>
      </c>
      <c r="C304" s="17" t="s">
        <v>19</v>
      </c>
      <c r="D304" s="17" t="s">
        <v>23</v>
      </c>
      <c r="E304" s="18">
        <v>47</v>
      </c>
      <c r="F304" s="18">
        <v>402</v>
      </c>
      <c r="G304" s="18">
        <v>18894</v>
      </c>
      <c r="H304" s="19">
        <v>3802.47818562047</v>
      </c>
      <c r="I304" s="20">
        <f t="shared" si="8"/>
        <v>0.20125321189904044</v>
      </c>
      <c r="J304" s="17" t="str">
        <f t="shared" si="9"/>
        <v>Low</v>
      </c>
    </row>
    <row r="305" spans="1:10" ht="15" customHeight="1" x14ac:dyDescent="0.35">
      <c r="A305" s="21">
        <v>45169</v>
      </c>
      <c r="B305" s="22" t="s">
        <v>24</v>
      </c>
      <c r="C305" s="22" t="s">
        <v>22</v>
      </c>
      <c r="D305" s="22" t="s">
        <v>23</v>
      </c>
      <c r="E305" s="23">
        <v>49</v>
      </c>
      <c r="F305" s="23">
        <v>455</v>
      </c>
      <c r="G305" s="23">
        <v>22295</v>
      </c>
      <c r="H305" s="24">
        <v>5056.9698759070598</v>
      </c>
      <c r="I305" s="25">
        <f t="shared" si="8"/>
        <v>0.22682080627526618</v>
      </c>
      <c r="J305" s="22" t="str">
        <f t="shared" si="9"/>
        <v>Medium</v>
      </c>
    </row>
    <row r="306" spans="1:10" ht="15" customHeight="1" x14ac:dyDescent="0.35">
      <c r="A306" s="16">
        <v>45107</v>
      </c>
      <c r="B306" s="17" t="s">
        <v>18</v>
      </c>
      <c r="C306" s="17" t="s">
        <v>27</v>
      </c>
      <c r="D306" s="17" t="s">
        <v>23</v>
      </c>
      <c r="E306" s="18">
        <v>35</v>
      </c>
      <c r="F306" s="18">
        <v>797</v>
      </c>
      <c r="G306" s="18">
        <v>27895</v>
      </c>
      <c r="H306" s="19">
        <v>3185.2308338103198</v>
      </c>
      <c r="I306" s="20">
        <f t="shared" si="8"/>
        <v>0.11418644322675461</v>
      </c>
      <c r="J306" s="17" t="str">
        <f t="shared" si="9"/>
        <v>Medium</v>
      </c>
    </row>
    <row r="307" spans="1:10" ht="15" customHeight="1" x14ac:dyDescent="0.35">
      <c r="A307" s="21">
        <v>45169</v>
      </c>
      <c r="B307" s="22" t="s">
        <v>24</v>
      </c>
      <c r="C307" s="22" t="s">
        <v>28</v>
      </c>
      <c r="D307" s="22" t="s">
        <v>20</v>
      </c>
      <c r="E307" s="23">
        <v>44</v>
      </c>
      <c r="F307" s="23">
        <v>861</v>
      </c>
      <c r="G307" s="23">
        <v>37884</v>
      </c>
      <c r="H307" s="24">
        <v>5715.8741297225097</v>
      </c>
      <c r="I307" s="25">
        <f t="shared" si="8"/>
        <v>0.1508783161683695</v>
      </c>
      <c r="J307" s="22" t="str">
        <f t="shared" si="9"/>
        <v>Medium</v>
      </c>
    </row>
    <row r="308" spans="1:10" ht="15" customHeight="1" x14ac:dyDescent="0.35">
      <c r="A308" s="16">
        <v>44957</v>
      </c>
      <c r="B308" s="17" t="s">
        <v>24</v>
      </c>
      <c r="C308" s="17" t="s">
        <v>22</v>
      </c>
      <c r="D308" s="17" t="s">
        <v>25</v>
      </c>
      <c r="E308" s="18">
        <v>34</v>
      </c>
      <c r="F308" s="18">
        <v>434</v>
      </c>
      <c r="G308" s="18">
        <v>14756</v>
      </c>
      <c r="H308" s="19">
        <v>2543.5008486670099</v>
      </c>
      <c r="I308" s="20">
        <f t="shared" si="8"/>
        <v>0.17237061864102804</v>
      </c>
      <c r="J308" s="17" t="str">
        <f t="shared" si="9"/>
        <v>Low</v>
      </c>
    </row>
    <row r="309" spans="1:10" ht="15" customHeight="1" x14ac:dyDescent="0.35">
      <c r="A309" s="21">
        <v>45169</v>
      </c>
      <c r="B309" s="22" t="s">
        <v>24</v>
      </c>
      <c r="C309" s="22" t="s">
        <v>22</v>
      </c>
      <c r="D309" s="22" t="s">
        <v>20</v>
      </c>
      <c r="E309" s="23">
        <v>33</v>
      </c>
      <c r="F309" s="23">
        <v>1568</v>
      </c>
      <c r="G309" s="23">
        <v>51744</v>
      </c>
      <c r="H309" s="24">
        <v>10064.1392322914</v>
      </c>
      <c r="I309" s="25">
        <f t="shared" si="8"/>
        <v>0.19449867100130255</v>
      </c>
      <c r="J309" s="22" t="str">
        <f t="shared" si="9"/>
        <v>High</v>
      </c>
    </row>
    <row r="310" spans="1:10" ht="15" customHeight="1" x14ac:dyDescent="0.35">
      <c r="A310" s="16">
        <v>45046</v>
      </c>
      <c r="B310" s="17" t="s">
        <v>18</v>
      </c>
      <c r="C310" s="17" t="s">
        <v>28</v>
      </c>
      <c r="D310" s="17" t="s">
        <v>31</v>
      </c>
      <c r="E310" s="18">
        <v>21</v>
      </c>
      <c r="F310" s="18">
        <v>733</v>
      </c>
      <c r="G310" s="18">
        <v>15393</v>
      </c>
      <c r="H310" s="19">
        <v>1679.8342279036401</v>
      </c>
      <c r="I310" s="20">
        <f t="shared" si="8"/>
        <v>0.10912974910047685</v>
      </c>
      <c r="J310" s="17" t="str">
        <f t="shared" si="9"/>
        <v>Low</v>
      </c>
    </row>
    <row r="311" spans="1:10" ht="15" customHeight="1" x14ac:dyDescent="0.35">
      <c r="A311" s="21">
        <v>45260</v>
      </c>
      <c r="B311" s="22" t="s">
        <v>24</v>
      </c>
      <c r="C311" s="22" t="s">
        <v>19</v>
      </c>
      <c r="D311" s="22" t="s">
        <v>23</v>
      </c>
      <c r="E311" s="23">
        <v>17</v>
      </c>
      <c r="F311" s="23">
        <v>1059</v>
      </c>
      <c r="G311" s="23">
        <v>18003</v>
      </c>
      <c r="H311" s="24">
        <v>2304.4707656504802</v>
      </c>
      <c r="I311" s="25">
        <f t="shared" si="8"/>
        <v>0.12800481951066378</v>
      </c>
      <c r="J311" s="22" t="str">
        <f t="shared" si="9"/>
        <v>Low</v>
      </c>
    </row>
    <row r="312" spans="1:10" ht="15" customHeight="1" x14ac:dyDescent="0.35">
      <c r="A312" s="16">
        <v>44957</v>
      </c>
      <c r="B312" s="17" t="s">
        <v>24</v>
      </c>
      <c r="C312" s="17" t="s">
        <v>30</v>
      </c>
      <c r="D312" s="17" t="s">
        <v>20</v>
      </c>
      <c r="E312" s="18">
        <v>22</v>
      </c>
      <c r="F312" s="18">
        <v>1689</v>
      </c>
      <c r="G312" s="18">
        <v>37158</v>
      </c>
      <c r="H312" s="19">
        <v>5772.9732097818696</v>
      </c>
      <c r="I312" s="20">
        <f t="shared" si="8"/>
        <v>0.15536286155826121</v>
      </c>
      <c r="J312" s="17" t="str">
        <f t="shared" si="9"/>
        <v>Medium</v>
      </c>
    </row>
    <row r="313" spans="1:10" ht="15" customHeight="1" x14ac:dyDescent="0.35">
      <c r="A313" s="21">
        <v>45169</v>
      </c>
      <c r="B313" s="22" t="s">
        <v>24</v>
      </c>
      <c r="C313" s="22" t="s">
        <v>27</v>
      </c>
      <c r="D313" s="22" t="s">
        <v>20</v>
      </c>
      <c r="E313" s="23">
        <v>48</v>
      </c>
      <c r="F313" s="23">
        <v>969</v>
      </c>
      <c r="G313" s="23">
        <v>46512</v>
      </c>
      <c r="H313" s="24">
        <v>13688.785703837901</v>
      </c>
      <c r="I313" s="25">
        <f t="shared" si="8"/>
        <v>0.29430653818020941</v>
      </c>
      <c r="J313" s="22" t="str">
        <f t="shared" si="9"/>
        <v>Medium</v>
      </c>
    </row>
    <row r="314" spans="1:10" ht="15" customHeight="1" x14ac:dyDescent="0.35">
      <c r="A314" s="16">
        <v>45046</v>
      </c>
      <c r="B314" s="17" t="s">
        <v>26</v>
      </c>
      <c r="C314" s="17" t="s">
        <v>30</v>
      </c>
      <c r="D314" s="17" t="s">
        <v>31</v>
      </c>
      <c r="E314" s="18">
        <v>37</v>
      </c>
      <c r="F314" s="18">
        <v>740</v>
      </c>
      <c r="G314" s="18">
        <v>27380</v>
      </c>
      <c r="H314" s="19">
        <v>4552.45621089631</v>
      </c>
      <c r="I314" s="20">
        <f t="shared" si="8"/>
        <v>0.16626940142061031</v>
      </c>
      <c r="J314" s="17" t="str">
        <f t="shared" si="9"/>
        <v>Medium</v>
      </c>
    </row>
    <row r="315" spans="1:10" ht="15" customHeight="1" x14ac:dyDescent="0.35">
      <c r="A315" s="21">
        <v>45107</v>
      </c>
      <c r="B315" s="22" t="s">
        <v>24</v>
      </c>
      <c r="C315" s="22" t="s">
        <v>28</v>
      </c>
      <c r="D315" s="22" t="s">
        <v>21</v>
      </c>
      <c r="E315" s="23">
        <v>15</v>
      </c>
      <c r="F315" s="23">
        <v>412</v>
      </c>
      <c r="G315" s="23">
        <v>6180</v>
      </c>
      <c r="H315" s="24">
        <v>1213.8027478265301</v>
      </c>
      <c r="I315" s="25">
        <f t="shared" si="8"/>
        <v>0.19640821162241587</v>
      </c>
      <c r="J315" s="22" t="str">
        <f t="shared" si="9"/>
        <v>Low</v>
      </c>
    </row>
    <row r="316" spans="1:10" ht="15" customHeight="1" x14ac:dyDescent="0.35">
      <c r="A316" s="16">
        <v>45169</v>
      </c>
      <c r="B316" s="17" t="s">
        <v>18</v>
      </c>
      <c r="C316" s="17" t="s">
        <v>22</v>
      </c>
      <c r="D316" s="17" t="s">
        <v>25</v>
      </c>
      <c r="E316" s="18">
        <v>35</v>
      </c>
      <c r="F316" s="18">
        <v>662</v>
      </c>
      <c r="G316" s="18">
        <v>23170</v>
      </c>
      <c r="H316" s="19">
        <v>3225.7168008297099</v>
      </c>
      <c r="I316" s="20">
        <f t="shared" si="8"/>
        <v>0.13921954254767846</v>
      </c>
      <c r="J316" s="17" t="str">
        <f t="shared" si="9"/>
        <v>Medium</v>
      </c>
    </row>
    <row r="317" spans="1:10" ht="15" customHeight="1" x14ac:dyDescent="0.35">
      <c r="A317" s="21">
        <v>45046</v>
      </c>
      <c r="B317" s="22" t="s">
        <v>24</v>
      </c>
      <c r="C317" s="22" t="s">
        <v>22</v>
      </c>
      <c r="D317" s="22" t="s">
        <v>21</v>
      </c>
      <c r="E317" s="23">
        <v>28</v>
      </c>
      <c r="F317" s="23">
        <v>635</v>
      </c>
      <c r="G317" s="23">
        <v>17780</v>
      </c>
      <c r="H317" s="24">
        <v>3949.93393274543</v>
      </c>
      <c r="I317" s="25">
        <f t="shared" si="8"/>
        <v>0.22215601421515355</v>
      </c>
      <c r="J317" s="22" t="str">
        <f t="shared" si="9"/>
        <v>Low</v>
      </c>
    </row>
    <row r="318" spans="1:10" ht="15" customHeight="1" x14ac:dyDescent="0.35">
      <c r="A318" s="16">
        <v>45016</v>
      </c>
      <c r="B318" s="17" t="s">
        <v>24</v>
      </c>
      <c r="C318" s="17" t="s">
        <v>27</v>
      </c>
      <c r="D318" s="17" t="s">
        <v>23</v>
      </c>
      <c r="E318" s="18">
        <v>7</v>
      </c>
      <c r="F318" s="18">
        <v>482</v>
      </c>
      <c r="G318" s="18">
        <v>3374</v>
      </c>
      <c r="H318" s="19">
        <v>526.80503383018004</v>
      </c>
      <c r="I318" s="20">
        <f t="shared" si="8"/>
        <v>0.15613664310319503</v>
      </c>
      <c r="J318" s="17" t="str">
        <f t="shared" si="9"/>
        <v>Low</v>
      </c>
    </row>
    <row r="319" spans="1:10" ht="15" customHeight="1" x14ac:dyDescent="0.35">
      <c r="A319" s="21">
        <v>45199</v>
      </c>
      <c r="B319" s="22" t="s">
        <v>18</v>
      </c>
      <c r="C319" s="22" t="s">
        <v>22</v>
      </c>
      <c r="D319" s="22" t="s">
        <v>20</v>
      </c>
      <c r="E319" s="23">
        <v>32</v>
      </c>
      <c r="F319" s="23">
        <v>1785</v>
      </c>
      <c r="G319" s="23">
        <v>57120</v>
      </c>
      <c r="H319" s="24">
        <v>8076.6832160805898</v>
      </c>
      <c r="I319" s="25">
        <f t="shared" si="8"/>
        <v>0.14139851568768538</v>
      </c>
      <c r="J319" s="22" t="str">
        <f t="shared" si="9"/>
        <v>High</v>
      </c>
    </row>
    <row r="320" spans="1:10" ht="15" customHeight="1" x14ac:dyDescent="0.35">
      <c r="A320" s="16">
        <v>45016</v>
      </c>
      <c r="B320" s="17" t="s">
        <v>24</v>
      </c>
      <c r="C320" s="17" t="s">
        <v>22</v>
      </c>
      <c r="D320" s="17" t="s">
        <v>31</v>
      </c>
      <c r="E320" s="18">
        <v>11</v>
      </c>
      <c r="F320" s="18">
        <v>1830</v>
      </c>
      <c r="G320" s="18">
        <v>20130</v>
      </c>
      <c r="H320" s="19">
        <v>4092.72140212351</v>
      </c>
      <c r="I320" s="20">
        <f t="shared" si="8"/>
        <v>0.20331452568919572</v>
      </c>
      <c r="J320" s="17" t="str">
        <f t="shared" si="9"/>
        <v>Medium</v>
      </c>
    </row>
    <row r="321" spans="1:10" ht="15" customHeight="1" x14ac:dyDescent="0.35">
      <c r="A321" s="21">
        <v>45199</v>
      </c>
      <c r="B321" s="22" t="s">
        <v>18</v>
      </c>
      <c r="C321" s="22" t="s">
        <v>27</v>
      </c>
      <c r="D321" s="22" t="s">
        <v>31</v>
      </c>
      <c r="E321" s="23">
        <v>10</v>
      </c>
      <c r="F321" s="23">
        <v>1686</v>
      </c>
      <c r="G321" s="23">
        <v>16860</v>
      </c>
      <c r="H321" s="24">
        <v>1704.56555476894</v>
      </c>
      <c r="I321" s="25">
        <f t="shared" si="8"/>
        <v>0.10110115983208423</v>
      </c>
      <c r="J321" s="22" t="str">
        <f t="shared" si="9"/>
        <v>Low</v>
      </c>
    </row>
    <row r="322" spans="1:10" ht="15" customHeight="1" x14ac:dyDescent="0.35">
      <c r="A322" s="16">
        <v>44985</v>
      </c>
      <c r="B322" s="17" t="s">
        <v>24</v>
      </c>
      <c r="C322" s="17" t="s">
        <v>27</v>
      </c>
      <c r="D322" s="17" t="s">
        <v>25</v>
      </c>
      <c r="E322" s="18">
        <v>9</v>
      </c>
      <c r="F322" s="18">
        <v>1630</v>
      </c>
      <c r="G322" s="18">
        <v>14670</v>
      </c>
      <c r="H322" s="19">
        <v>1489.4862717928299</v>
      </c>
      <c r="I322" s="20">
        <f t="shared" ref="I322:I385" si="10">IFERROR(H322/G322,0)</f>
        <v>0.10153280652984525</v>
      </c>
      <c r="J322" s="17" t="str">
        <f t="shared" ref="J322:J385" si="11">IF(G322&gt;=50000,"High",IF(G322&gt;=20000,"Medium","Low"))</f>
        <v>Low</v>
      </c>
    </row>
    <row r="323" spans="1:10" ht="15" customHeight="1" x14ac:dyDescent="0.35">
      <c r="A323" s="21">
        <v>44985</v>
      </c>
      <c r="B323" s="22" t="s">
        <v>18</v>
      </c>
      <c r="C323" s="22" t="s">
        <v>28</v>
      </c>
      <c r="D323" s="22" t="s">
        <v>21</v>
      </c>
      <c r="E323" s="23">
        <v>14</v>
      </c>
      <c r="F323" s="23">
        <v>287</v>
      </c>
      <c r="G323" s="23">
        <v>4018</v>
      </c>
      <c r="H323" s="24">
        <v>577.84369499425304</v>
      </c>
      <c r="I323" s="25">
        <f t="shared" si="10"/>
        <v>0.14381376182037159</v>
      </c>
      <c r="J323" s="22" t="str">
        <f t="shared" si="11"/>
        <v>Low</v>
      </c>
    </row>
    <row r="324" spans="1:10" ht="15" customHeight="1" x14ac:dyDescent="0.35">
      <c r="A324" s="16">
        <v>44985</v>
      </c>
      <c r="B324" s="17" t="s">
        <v>24</v>
      </c>
      <c r="C324" s="17" t="s">
        <v>22</v>
      </c>
      <c r="D324" s="17" t="s">
        <v>25</v>
      </c>
      <c r="E324" s="18">
        <v>13</v>
      </c>
      <c r="F324" s="18">
        <v>1267</v>
      </c>
      <c r="G324" s="18">
        <v>16471</v>
      </c>
      <c r="H324" s="19">
        <v>1768.0675123502101</v>
      </c>
      <c r="I324" s="20">
        <f t="shared" si="10"/>
        <v>0.10734427250016454</v>
      </c>
      <c r="J324" s="17" t="str">
        <f t="shared" si="11"/>
        <v>Low</v>
      </c>
    </row>
    <row r="325" spans="1:10" ht="15" customHeight="1" x14ac:dyDescent="0.35">
      <c r="A325" s="21">
        <v>45107</v>
      </c>
      <c r="B325" s="22" t="s">
        <v>24</v>
      </c>
      <c r="C325" s="22" t="s">
        <v>22</v>
      </c>
      <c r="D325" s="22" t="s">
        <v>20</v>
      </c>
      <c r="E325" s="23">
        <v>25</v>
      </c>
      <c r="F325" s="23">
        <v>660</v>
      </c>
      <c r="G325" s="23">
        <v>16500</v>
      </c>
      <c r="H325" s="24">
        <v>2006.48498863128</v>
      </c>
      <c r="I325" s="25">
        <f t="shared" si="10"/>
        <v>0.12160515082613818</v>
      </c>
      <c r="J325" s="22" t="str">
        <f t="shared" si="11"/>
        <v>Low</v>
      </c>
    </row>
    <row r="326" spans="1:10" ht="15" customHeight="1" x14ac:dyDescent="0.35">
      <c r="A326" s="16">
        <v>45016</v>
      </c>
      <c r="B326" s="17" t="s">
        <v>26</v>
      </c>
      <c r="C326" s="17" t="s">
        <v>28</v>
      </c>
      <c r="D326" s="17" t="s">
        <v>25</v>
      </c>
      <c r="E326" s="18">
        <v>2</v>
      </c>
      <c r="F326" s="18">
        <v>477</v>
      </c>
      <c r="G326" s="18">
        <v>954</v>
      </c>
      <c r="H326" s="19">
        <v>160.05461189383399</v>
      </c>
      <c r="I326" s="20">
        <f t="shared" si="10"/>
        <v>0.16777212986775053</v>
      </c>
      <c r="J326" s="17" t="str">
        <f t="shared" si="11"/>
        <v>Low</v>
      </c>
    </row>
    <row r="327" spans="1:10" ht="15" customHeight="1" x14ac:dyDescent="0.35">
      <c r="A327" s="21">
        <v>45199</v>
      </c>
      <c r="B327" s="22" t="s">
        <v>26</v>
      </c>
      <c r="C327" s="22" t="s">
        <v>19</v>
      </c>
      <c r="D327" s="22" t="s">
        <v>31</v>
      </c>
      <c r="E327" s="23">
        <v>35</v>
      </c>
      <c r="F327" s="23">
        <v>1906</v>
      </c>
      <c r="G327" s="23">
        <v>66710</v>
      </c>
      <c r="H327" s="24">
        <v>17379.0981369539</v>
      </c>
      <c r="I327" s="25">
        <f t="shared" si="10"/>
        <v>0.26051713591596315</v>
      </c>
      <c r="J327" s="22" t="str">
        <f t="shared" si="11"/>
        <v>High</v>
      </c>
    </row>
    <row r="328" spans="1:10" ht="15" customHeight="1" x14ac:dyDescent="0.35">
      <c r="A328" s="16">
        <v>45046</v>
      </c>
      <c r="B328" s="17" t="s">
        <v>24</v>
      </c>
      <c r="C328" s="17" t="s">
        <v>19</v>
      </c>
      <c r="D328" s="17" t="s">
        <v>31</v>
      </c>
      <c r="E328" s="18">
        <v>7</v>
      </c>
      <c r="F328" s="18">
        <v>620</v>
      </c>
      <c r="G328" s="18">
        <v>4340</v>
      </c>
      <c r="H328" s="19">
        <v>930.53822244455296</v>
      </c>
      <c r="I328" s="20">
        <f t="shared" si="10"/>
        <v>0.21440972867386013</v>
      </c>
      <c r="J328" s="17" t="str">
        <f t="shared" si="11"/>
        <v>Low</v>
      </c>
    </row>
    <row r="329" spans="1:10" ht="15" customHeight="1" x14ac:dyDescent="0.35">
      <c r="A329" s="21">
        <v>44957</v>
      </c>
      <c r="B329" s="22" t="s">
        <v>24</v>
      </c>
      <c r="C329" s="22" t="s">
        <v>19</v>
      </c>
      <c r="D329" s="22" t="s">
        <v>23</v>
      </c>
      <c r="E329" s="23">
        <v>21</v>
      </c>
      <c r="F329" s="23">
        <v>1924</v>
      </c>
      <c r="G329" s="23">
        <v>40404</v>
      </c>
      <c r="H329" s="24">
        <v>8183.1653599086103</v>
      </c>
      <c r="I329" s="25">
        <f t="shared" si="10"/>
        <v>0.2025335451912833</v>
      </c>
      <c r="J329" s="22" t="str">
        <f t="shared" si="11"/>
        <v>Medium</v>
      </c>
    </row>
    <row r="330" spans="1:10" ht="15" customHeight="1" x14ac:dyDescent="0.35">
      <c r="A330" s="16">
        <v>45046</v>
      </c>
      <c r="B330" s="17" t="s">
        <v>29</v>
      </c>
      <c r="C330" s="17" t="s">
        <v>28</v>
      </c>
      <c r="D330" s="17" t="s">
        <v>23</v>
      </c>
      <c r="E330" s="18">
        <v>18</v>
      </c>
      <c r="F330" s="18">
        <v>1576</v>
      </c>
      <c r="G330" s="18">
        <v>28368</v>
      </c>
      <c r="H330" s="19">
        <v>4501.9381873536004</v>
      </c>
      <c r="I330" s="20">
        <f t="shared" si="10"/>
        <v>0.15869776464162438</v>
      </c>
      <c r="J330" s="17" t="str">
        <f t="shared" si="11"/>
        <v>Medium</v>
      </c>
    </row>
    <row r="331" spans="1:10" ht="15" customHeight="1" x14ac:dyDescent="0.35">
      <c r="A331" s="21">
        <v>44957</v>
      </c>
      <c r="B331" s="22" t="s">
        <v>18</v>
      </c>
      <c r="C331" s="22" t="s">
        <v>22</v>
      </c>
      <c r="D331" s="22" t="s">
        <v>20</v>
      </c>
      <c r="E331" s="23">
        <v>3</v>
      </c>
      <c r="F331" s="23">
        <v>895</v>
      </c>
      <c r="G331" s="23">
        <v>2685</v>
      </c>
      <c r="H331" s="24">
        <v>768.85174733542203</v>
      </c>
      <c r="I331" s="25">
        <f t="shared" si="10"/>
        <v>0.28635074388656312</v>
      </c>
      <c r="J331" s="22" t="str">
        <f t="shared" si="11"/>
        <v>Low</v>
      </c>
    </row>
    <row r="332" spans="1:10" ht="15" customHeight="1" x14ac:dyDescent="0.35">
      <c r="A332" s="16">
        <v>45077</v>
      </c>
      <c r="B332" s="17" t="s">
        <v>29</v>
      </c>
      <c r="C332" s="17" t="s">
        <v>28</v>
      </c>
      <c r="D332" s="17" t="s">
        <v>21</v>
      </c>
      <c r="E332" s="18">
        <v>42</v>
      </c>
      <c r="F332" s="18">
        <v>714</v>
      </c>
      <c r="G332" s="18">
        <v>29988</v>
      </c>
      <c r="H332" s="19">
        <v>5379.9374113241802</v>
      </c>
      <c r="I332" s="20">
        <f t="shared" si="10"/>
        <v>0.17940300824743832</v>
      </c>
      <c r="J332" s="17" t="str">
        <f t="shared" si="11"/>
        <v>Medium</v>
      </c>
    </row>
    <row r="333" spans="1:10" ht="15" customHeight="1" x14ac:dyDescent="0.35">
      <c r="A333" s="21">
        <v>45046</v>
      </c>
      <c r="B333" s="22" t="s">
        <v>26</v>
      </c>
      <c r="C333" s="22" t="s">
        <v>28</v>
      </c>
      <c r="D333" s="22" t="s">
        <v>25</v>
      </c>
      <c r="E333" s="23">
        <v>39</v>
      </c>
      <c r="F333" s="23">
        <v>902</v>
      </c>
      <c r="G333" s="23">
        <v>35178</v>
      </c>
      <c r="H333" s="24">
        <v>4130.5498700683302</v>
      </c>
      <c r="I333" s="25">
        <f t="shared" si="10"/>
        <v>0.11741855335915431</v>
      </c>
      <c r="J333" s="22" t="str">
        <f t="shared" si="11"/>
        <v>Medium</v>
      </c>
    </row>
    <row r="334" spans="1:10" ht="15" customHeight="1" x14ac:dyDescent="0.35">
      <c r="A334" s="16">
        <v>45169</v>
      </c>
      <c r="B334" s="17" t="s">
        <v>26</v>
      </c>
      <c r="C334" s="17" t="s">
        <v>19</v>
      </c>
      <c r="D334" s="17" t="s">
        <v>20</v>
      </c>
      <c r="E334" s="18">
        <v>41</v>
      </c>
      <c r="F334" s="18">
        <v>1853</v>
      </c>
      <c r="G334" s="18">
        <v>75973</v>
      </c>
      <c r="H334" s="19">
        <v>16973.3788858035</v>
      </c>
      <c r="I334" s="20">
        <f t="shared" si="10"/>
        <v>0.22341330322355968</v>
      </c>
      <c r="J334" s="17" t="str">
        <f t="shared" si="11"/>
        <v>High</v>
      </c>
    </row>
    <row r="335" spans="1:10" ht="15" customHeight="1" x14ac:dyDescent="0.35">
      <c r="A335" s="21">
        <v>45169</v>
      </c>
      <c r="B335" s="22" t="s">
        <v>26</v>
      </c>
      <c r="C335" s="22" t="s">
        <v>30</v>
      </c>
      <c r="D335" s="22" t="s">
        <v>23</v>
      </c>
      <c r="E335" s="23">
        <v>49</v>
      </c>
      <c r="F335" s="23">
        <v>218</v>
      </c>
      <c r="G335" s="23">
        <v>10682</v>
      </c>
      <c r="H335" s="24">
        <v>1311.40434382341</v>
      </c>
      <c r="I335" s="25">
        <f t="shared" si="10"/>
        <v>0.12276767869532017</v>
      </c>
      <c r="J335" s="22" t="str">
        <f t="shared" si="11"/>
        <v>Low</v>
      </c>
    </row>
    <row r="336" spans="1:10" ht="15" customHeight="1" x14ac:dyDescent="0.35">
      <c r="A336" s="16">
        <v>45138</v>
      </c>
      <c r="B336" s="17" t="s">
        <v>26</v>
      </c>
      <c r="C336" s="17" t="s">
        <v>22</v>
      </c>
      <c r="D336" s="17" t="s">
        <v>25</v>
      </c>
      <c r="E336" s="18">
        <v>11</v>
      </c>
      <c r="F336" s="18">
        <v>222</v>
      </c>
      <c r="G336" s="18">
        <v>2442</v>
      </c>
      <c r="H336" s="19">
        <v>412.80698294434598</v>
      </c>
      <c r="I336" s="20">
        <f t="shared" si="10"/>
        <v>0.16904462856033825</v>
      </c>
      <c r="J336" s="17" t="str">
        <f t="shared" si="11"/>
        <v>Low</v>
      </c>
    </row>
    <row r="337" spans="1:10" ht="15" customHeight="1" x14ac:dyDescent="0.35">
      <c r="A337" s="21">
        <v>45016</v>
      </c>
      <c r="B337" s="22" t="s">
        <v>24</v>
      </c>
      <c r="C337" s="22" t="s">
        <v>19</v>
      </c>
      <c r="D337" s="22" t="s">
        <v>23</v>
      </c>
      <c r="E337" s="23">
        <v>39</v>
      </c>
      <c r="F337" s="23">
        <v>612</v>
      </c>
      <c r="G337" s="23">
        <v>23868</v>
      </c>
      <c r="H337" s="24">
        <v>4808.9816306633302</v>
      </c>
      <c r="I337" s="25">
        <f t="shared" si="10"/>
        <v>0.20148238774356167</v>
      </c>
      <c r="J337" s="22" t="str">
        <f t="shared" si="11"/>
        <v>Medium</v>
      </c>
    </row>
    <row r="338" spans="1:10" ht="15" customHeight="1" x14ac:dyDescent="0.35">
      <c r="A338" s="16">
        <v>44957</v>
      </c>
      <c r="B338" s="17" t="s">
        <v>26</v>
      </c>
      <c r="C338" s="17" t="s">
        <v>30</v>
      </c>
      <c r="D338" s="17" t="s">
        <v>25</v>
      </c>
      <c r="E338" s="18">
        <v>24</v>
      </c>
      <c r="F338" s="18">
        <v>1253</v>
      </c>
      <c r="G338" s="18">
        <v>30072</v>
      </c>
      <c r="H338" s="19">
        <v>8265.1239524665198</v>
      </c>
      <c r="I338" s="20">
        <f t="shared" si="10"/>
        <v>0.27484450493703511</v>
      </c>
      <c r="J338" s="17" t="str">
        <f t="shared" si="11"/>
        <v>Medium</v>
      </c>
    </row>
    <row r="339" spans="1:10" ht="15" customHeight="1" x14ac:dyDescent="0.35">
      <c r="A339" s="21">
        <v>44957</v>
      </c>
      <c r="B339" s="22" t="s">
        <v>24</v>
      </c>
      <c r="C339" s="22" t="s">
        <v>30</v>
      </c>
      <c r="D339" s="22" t="s">
        <v>21</v>
      </c>
      <c r="E339" s="23">
        <v>46</v>
      </c>
      <c r="F339" s="23">
        <v>307</v>
      </c>
      <c r="G339" s="23">
        <v>14122</v>
      </c>
      <c r="H339" s="24">
        <v>2806.1729615126301</v>
      </c>
      <c r="I339" s="25">
        <f t="shared" si="10"/>
        <v>0.19870931606802367</v>
      </c>
      <c r="J339" s="22" t="str">
        <f t="shared" si="11"/>
        <v>Low</v>
      </c>
    </row>
    <row r="340" spans="1:10" ht="15" customHeight="1" x14ac:dyDescent="0.35">
      <c r="A340" s="16">
        <v>45291</v>
      </c>
      <c r="B340" s="17" t="s">
        <v>24</v>
      </c>
      <c r="C340" s="17" t="s">
        <v>27</v>
      </c>
      <c r="D340" s="17" t="s">
        <v>20</v>
      </c>
      <c r="E340" s="18">
        <v>19</v>
      </c>
      <c r="F340" s="18">
        <v>1590</v>
      </c>
      <c r="G340" s="18">
        <v>30210</v>
      </c>
      <c r="H340" s="19">
        <v>7264.0474643633197</v>
      </c>
      <c r="I340" s="20">
        <f t="shared" si="10"/>
        <v>0.240451753206333</v>
      </c>
      <c r="J340" s="17" t="str">
        <f t="shared" si="11"/>
        <v>Medium</v>
      </c>
    </row>
    <row r="341" spans="1:10" ht="15" customHeight="1" x14ac:dyDescent="0.35">
      <c r="A341" s="21">
        <v>45260</v>
      </c>
      <c r="B341" s="22" t="s">
        <v>26</v>
      </c>
      <c r="C341" s="22" t="s">
        <v>22</v>
      </c>
      <c r="D341" s="22" t="s">
        <v>25</v>
      </c>
      <c r="E341" s="23">
        <v>4</v>
      </c>
      <c r="F341" s="23">
        <v>1504</v>
      </c>
      <c r="G341" s="23">
        <v>6016</v>
      </c>
      <c r="H341" s="24">
        <v>1796.15722068368</v>
      </c>
      <c r="I341" s="25">
        <f t="shared" si="10"/>
        <v>0.29856336779981379</v>
      </c>
      <c r="J341" s="22" t="str">
        <f t="shared" si="11"/>
        <v>Low</v>
      </c>
    </row>
    <row r="342" spans="1:10" ht="15" customHeight="1" x14ac:dyDescent="0.35">
      <c r="A342" s="16">
        <v>45016</v>
      </c>
      <c r="B342" s="17" t="s">
        <v>26</v>
      </c>
      <c r="C342" s="17" t="s">
        <v>30</v>
      </c>
      <c r="D342" s="17" t="s">
        <v>31</v>
      </c>
      <c r="E342" s="18">
        <v>26</v>
      </c>
      <c r="F342" s="18">
        <v>1351</v>
      </c>
      <c r="G342" s="18">
        <v>35126</v>
      </c>
      <c r="H342" s="19">
        <v>4436.3373651072998</v>
      </c>
      <c r="I342" s="20">
        <f t="shared" si="10"/>
        <v>0.1262978239795963</v>
      </c>
      <c r="J342" s="17" t="str">
        <f t="shared" si="11"/>
        <v>Medium</v>
      </c>
    </row>
    <row r="343" spans="1:10" ht="15" customHeight="1" x14ac:dyDescent="0.35">
      <c r="A343" s="21">
        <v>45107</v>
      </c>
      <c r="B343" s="22" t="s">
        <v>18</v>
      </c>
      <c r="C343" s="22" t="s">
        <v>19</v>
      </c>
      <c r="D343" s="22" t="s">
        <v>31</v>
      </c>
      <c r="E343" s="23">
        <v>38</v>
      </c>
      <c r="F343" s="23">
        <v>1452</v>
      </c>
      <c r="G343" s="23">
        <v>55176</v>
      </c>
      <c r="H343" s="24">
        <v>8549.3173304129996</v>
      </c>
      <c r="I343" s="25">
        <f t="shared" si="10"/>
        <v>0.15494630510390386</v>
      </c>
      <c r="J343" s="22" t="str">
        <f t="shared" si="11"/>
        <v>High</v>
      </c>
    </row>
    <row r="344" spans="1:10" ht="15" customHeight="1" x14ac:dyDescent="0.35">
      <c r="A344" s="16">
        <v>45138</v>
      </c>
      <c r="B344" s="17" t="s">
        <v>29</v>
      </c>
      <c r="C344" s="17" t="s">
        <v>27</v>
      </c>
      <c r="D344" s="17" t="s">
        <v>25</v>
      </c>
      <c r="E344" s="18">
        <v>42</v>
      </c>
      <c r="F344" s="18">
        <v>1334</v>
      </c>
      <c r="G344" s="18">
        <v>56028</v>
      </c>
      <c r="H344" s="19">
        <v>10024.261672717001</v>
      </c>
      <c r="I344" s="20">
        <f t="shared" si="10"/>
        <v>0.17891521511952954</v>
      </c>
      <c r="J344" s="17" t="str">
        <f t="shared" si="11"/>
        <v>High</v>
      </c>
    </row>
    <row r="345" spans="1:10" ht="15" customHeight="1" x14ac:dyDescent="0.35">
      <c r="A345" s="21">
        <v>45107</v>
      </c>
      <c r="B345" s="22" t="s">
        <v>26</v>
      </c>
      <c r="C345" s="22" t="s">
        <v>22</v>
      </c>
      <c r="D345" s="22" t="s">
        <v>25</v>
      </c>
      <c r="E345" s="23">
        <v>32</v>
      </c>
      <c r="F345" s="23">
        <v>335</v>
      </c>
      <c r="G345" s="23">
        <v>10720</v>
      </c>
      <c r="H345" s="24">
        <v>1976.3996147872499</v>
      </c>
      <c r="I345" s="25">
        <f t="shared" si="10"/>
        <v>0.18436563570776585</v>
      </c>
      <c r="J345" s="22" t="str">
        <f t="shared" si="11"/>
        <v>Low</v>
      </c>
    </row>
    <row r="346" spans="1:10" ht="15" customHeight="1" x14ac:dyDescent="0.35">
      <c r="A346" s="16">
        <v>45107</v>
      </c>
      <c r="B346" s="17" t="s">
        <v>18</v>
      </c>
      <c r="C346" s="17" t="s">
        <v>28</v>
      </c>
      <c r="D346" s="17" t="s">
        <v>25</v>
      </c>
      <c r="E346" s="18">
        <v>39</v>
      </c>
      <c r="F346" s="18">
        <v>561</v>
      </c>
      <c r="G346" s="18">
        <v>21879</v>
      </c>
      <c r="H346" s="19">
        <v>3986.44602114698</v>
      </c>
      <c r="I346" s="20">
        <f t="shared" si="10"/>
        <v>0.18220421505310938</v>
      </c>
      <c r="J346" s="17" t="str">
        <f t="shared" si="11"/>
        <v>Medium</v>
      </c>
    </row>
    <row r="347" spans="1:10" ht="15" customHeight="1" x14ac:dyDescent="0.35">
      <c r="A347" s="21">
        <v>45107</v>
      </c>
      <c r="B347" s="22" t="s">
        <v>18</v>
      </c>
      <c r="C347" s="22" t="s">
        <v>19</v>
      </c>
      <c r="D347" s="22" t="s">
        <v>31</v>
      </c>
      <c r="E347" s="23">
        <v>45</v>
      </c>
      <c r="F347" s="23">
        <v>1409</v>
      </c>
      <c r="G347" s="23">
        <v>63405</v>
      </c>
      <c r="H347" s="24">
        <v>17849.915123419702</v>
      </c>
      <c r="I347" s="25">
        <f t="shared" si="10"/>
        <v>0.28152220051131144</v>
      </c>
      <c r="J347" s="22" t="str">
        <f t="shared" si="11"/>
        <v>High</v>
      </c>
    </row>
    <row r="348" spans="1:10" ht="15" customHeight="1" x14ac:dyDescent="0.35">
      <c r="A348" s="16">
        <v>45016</v>
      </c>
      <c r="B348" s="17" t="s">
        <v>29</v>
      </c>
      <c r="C348" s="17" t="s">
        <v>30</v>
      </c>
      <c r="D348" s="17" t="s">
        <v>31</v>
      </c>
      <c r="E348" s="18">
        <v>46</v>
      </c>
      <c r="F348" s="18">
        <v>1879</v>
      </c>
      <c r="G348" s="18">
        <v>86434</v>
      </c>
      <c r="H348" s="19">
        <v>20986.739518369701</v>
      </c>
      <c r="I348" s="20">
        <f t="shared" si="10"/>
        <v>0.24280652889337184</v>
      </c>
      <c r="J348" s="17" t="str">
        <f t="shared" si="11"/>
        <v>High</v>
      </c>
    </row>
    <row r="349" spans="1:10" ht="15" customHeight="1" x14ac:dyDescent="0.35">
      <c r="A349" s="21">
        <v>45107</v>
      </c>
      <c r="B349" s="22" t="s">
        <v>24</v>
      </c>
      <c r="C349" s="22" t="s">
        <v>30</v>
      </c>
      <c r="D349" s="22" t="s">
        <v>25</v>
      </c>
      <c r="E349" s="23">
        <v>36</v>
      </c>
      <c r="F349" s="23">
        <v>1807</v>
      </c>
      <c r="G349" s="23">
        <v>65052</v>
      </c>
      <c r="H349" s="24">
        <v>14414.2899974057</v>
      </c>
      <c r="I349" s="25">
        <f t="shared" si="10"/>
        <v>0.22158104281814087</v>
      </c>
      <c r="J349" s="22" t="str">
        <f t="shared" si="11"/>
        <v>High</v>
      </c>
    </row>
    <row r="350" spans="1:10" ht="15" customHeight="1" x14ac:dyDescent="0.35">
      <c r="A350" s="16">
        <v>45169</v>
      </c>
      <c r="B350" s="17" t="s">
        <v>26</v>
      </c>
      <c r="C350" s="17" t="s">
        <v>19</v>
      </c>
      <c r="D350" s="17" t="s">
        <v>23</v>
      </c>
      <c r="E350" s="18">
        <v>40</v>
      </c>
      <c r="F350" s="18">
        <v>328</v>
      </c>
      <c r="G350" s="18">
        <v>13120</v>
      </c>
      <c r="H350" s="19">
        <v>2123.7940116719401</v>
      </c>
      <c r="I350" s="20">
        <f t="shared" si="10"/>
        <v>0.1618745435725564</v>
      </c>
      <c r="J350" s="17" t="str">
        <f t="shared" si="11"/>
        <v>Low</v>
      </c>
    </row>
    <row r="351" spans="1:10" ht="15" customHeight="1" x14ac:dyDescent="0.35">
      <c r="A351" s="21">
        <v>45260</v>
      </c>
      <c r="B351" s="22" t="s">
        <v>29</v>
      </c>
      <c r="C351" s="22" t="s">
        <v>30</v>
      </c>
      <c r="D351" s="22" t="s">
        <v>23</v>
      </c>
      <c r="E351" s="23">
        <v>37</v>
      </c>
      <c r="F351" s="23">
        <v>1484</v>
      </c>
      <c r="G351" s="23">
        <v>54908</v>
      </c>
      <c r="H351" s="24">
        <v>14537.336483364599</v>
      </c>
      <c r="I351" s="25">
        <f t="shared" si="10"/>
        <v>0.26475807684425945</v>
      </c>
      <c r="J351" s="22" t="str">
        <f t="shared" si="11"/>
        <v>High</v>
      </c>
    </row>
    <row r="352" spans="1:10" ht="15" customHeight="1" x14ac:dyDescent="0.35">
      <c r="A352" s="16">
        <v>45260</v>
      </c>
      <c r="B352" s="17" t="s">
        <v>26</v>
      </c>
      <c r="C352" s="17" t="s">
        <v>27</v>
      </c>
      <c r="D352" s="17" t="s">
        <v>21</v>
      </c>
      <c r="E352" s="18">
        <v>33</v>
      </c>
      <c r="F352" s="18">
        <v>714</v>
      </c>
      <c r="G352" s="18">
        <v>23562</v>
      </c>
      <c r="H352" s="19">
        <v>6856.8271543218598</v>
      </c>
      <c r="I352" s="20">
        <f t="shared" si="10"/>
        <v>0.2910121022969977</v>
      </c>
      <c r="J352" s="17" t="str">
        <f t="shared" si="11"/>
        <v>Medium</v>
      </c>
    </row>
    <row r="353" spans="1:10" ht="15" customHeight="1" x14ac:dyDescent="0.35">
      <c r="A353" s="21">
        <v>44985</v>
      </c>
      <c r="B353" s="22" t="s">
        <v>18</v>
      </c>
      <c r="C353" s="22" t="s">
        <v>22</v>
      </c>
      <c r="D353" s="22" t="s">
        <v>20</v>
      </c>
      <c r="E353" s="23">
        <v>36</v>
      </c>
      <c r="F353" s="23">
        <v>648</v>
      </c>
      <c r="G353" s="23">
        <v>23328</v>
      </c>
      <c r="H353" s="24">
        <v>6164.1827070663403</v>
      </c>
      <c r="I353" s="25">
        <f t="shared" si="10"/>
        <v>0.26423965651004544</v>
      </c>
      <c r="J353" s="22" t="str">
        <f t="shared" si="11"/>
        <v>Medium</v>
      </c>
    </row>
    <row r="354" spans="1:10" ht="15" customHeight="1" x14ac:dyDescent="0.35">
      <c r="A354" s="16">
        <v>45077</v>
      </c>
      <c r="B354" s="17" t="s">
        <v>18</v>
      </c>
      <c r="C354" s="17" t="s">
        <v>27</v>
      </c>
      <c r="D354" s="17" t="s">
        <v>23</v>
      </c>
      <c r="E354" s="18">
        <v>3</v>
      </c>
      <c r="F354" s="18">
        <v>1327</v>
      </c>
      <c r="G354" s="18">
        <v>3981</v>
      </c>
      <c r="H354" s="19">
        <v>399.34613675345099</v>
      </c>
      <c r="I354" s="20">
        <f t="shared" si="10"/>
        <v>0.10031302103829465</v>
      </c>
      <c r="J354" s="17" t="str">
        <f t="shared" si="11"/>
        <v>Low</v>
      </c>
    </row>
    <row r="355" spans="1:10" ht="15" customHeight="1" x14ac:dyDescent="0.35">
      <c r="A355" s="21">
        <v>44957</v>
      </c>
      <c r="B355" s="22" t="s">
        <v>24</v>
      </c>
      <c r="C355" s="22" t="s">
        <v>30</v>
      </c>
      <c r="D355" s="22" t="s">
        <v>31</v>
      </c>
      <c r="E355" s="23">
        <v>9</v>
      </c>
      <c r="F355" s="23">
        <v>1706</v>
      </c>
      <c r="G355" s="23">
        <v>15354</v>
      </c>
      <c r="H355" s="24">
        <v>3489.6613275592099</v>
      </c>
      <c r="I355" s="25">
        <f t="shared" si="10"/>
        <v>0.22728027403668163</v>
      </c>
      <c r="J355" s="22" t="str">
        <f t="shared" si="11"/>
        <v>Low</v>
      </c>
    </row>
    <row r="356" spans="1:10" ht="15" customHeight="1" x14ac:dyDescent="0.35">
      <c r="A356" s="16">
        <v>45291</v>
      </c>
      <c r="B356" s="17" t="s">
        <v>18</v>
      </c>
      <c r="C356" s="17" t="s">
        <v>28</v>
      </c>
      <c r="D356" s="17" t="s">
        <v>23</v>
      </c>
      <c r="E356" s="18">
        <v>8</v>
      </c>
      <c r="F356" s="18">
        <v>1447</v>
      </c>
      <c r="G356" s="18">
        <v>11576</v>
      </c>
      <c r="H356" s="19">
        <v>1275.98863511475</v>
      </c>
      <c r="I356" s="20">
        <f t="shared" si="10"/>
        <v>0.11022707628842</v>
      </c>
      <c r="J356" s="17" t="str">
        <f t="shared" si="11"/>
        <v>Low</v>
      </c>
    </row>
    <row r="357" spans="1:10" ht="15" customHeight="1" x14ac:dyDescent="0.35">
      <c r="A357" s="21">
        <v>44957</v>
      </c>
      <c r="B357" s="22" t="s">
        <v>18</v>
      </c>
      <c r="C357" s="22" t="s">
        <v>22</v>
      </c>
      <c r="D357" s="22" t="s">
        <v>21</v>
      </c>
      <c r="E357" s="23">
        <v>33</v>
      </c>
      <c r="F357" s="23">
        <v>1073</v>
      </c>
      <c r="G357" s="23">
        <v>35409</v>
      </c>
      <c r="H357" s="24">
        <v>5365.2228129593504</v>
      </c>
      <c r="I357" s="25">
        <f t="shared" si="10"/>
        <v>0.15152144406674434</v>
      </c>
      <c r="J357" s="22" t="str">
        <f t="shared" si="11"/>
        <v>Medium</v>
      </c>
    </row>
    <row r="358" spans="1:10" ht="15" customHeight="1" x14ac:dyDescent="0.35">
      <c r="A358" s="16">
        <v>45077</v>
      </c>
      <c r="B358" s="17" t="s">
        <v>29</v>
      </c>
      <c r="C358" s="17" t="s">
        <v>22</v>
      </c>
      <c r="D358" s="17" t="s">
        <v>21</v>
      </c>
      <c r="E358" s="18">
        <v>6</v>
      </c>
      <c r="F358" s="18">
        <v>1714</v>
      </c>
      <c r="G358" s="18">
        <v>10284</v>
      </c>
      <c r="H358" s="19">
        <v>1150.8304036753</v>
      </c>
      <c r="I358" s="20">
        <f t="shared" si="10"/>
        <v>0.11190494006955465</v>
      </c>
      <c r="J358" s="17" t="str">
        <f t="shared" si="11"/>
        <v>Low</v>
      </c>
    </row>
    <row r="359" spans="1:10" ht="15" customHeight="1" x14ac:dyDescent="0.35">
      <c r="A359" s="21">
        <v>45291</v>
      </c>
      <c r="B359" s="22" t="s">
        <v>26</v>
      </c>
      <c r="C359" s="22" t="s">
        <v>19</v>
      </c>
      <c r="D359" s="22" t="s">
        <v>20</v>
      </c>
      <c r="E359" s="23">
        <v>41</v>
      </c>
      <c r="F359" s="23">
        <v>672</v>
      </c>
      <c r="G359" s="23">
        <v>27552</v>
      </c>
      <c r="H359" s="24">
        <v>6082.35446393231</v>
      </c>
      <c r="I359" s="25">
        <f t="shared" si="10"/>
        <v>0.22075909058987769</v>
      </c>
      <c r="J359" s="22" t="str">
        <f t="shared" si="11"/>
        <v>Medium</v>
      </c>
    </row>
    <row r="360" spans="1:10" ht="15" customHeight="1" x14ac:dyDescent="0.35">
      <c r="A360" s="16">
        <v>45016</v>
      </c>
      <c r="B360" s="17" t="s">
        <v>26</v>
      </c>
      <c r="C360" s="17" t="s">
        <v>19</v>
      </c>
      <c r="D360" s="17" t="s">
        <v>23</v>
      </c>
      <c r="E360" s="18">
        <v>39</v>
      </c>
      <c r="F360" s="18">
        <v>1233</v>
      </c>
      <c r="G360" s="18">
        <v>48087</v>
      </c>
      <c r="H360" s="19">
        <v>11411.9098340238</v>
      </c>
      <c r="I360" s="20">
        <f t="shared" si="10"/>
        <v>0.23731798269852142</v>
      </c>
      <c r="J360" s="17" t="str">
        <f t="shared" si="11"/>
        <v>Medium</v>
      </c>
    </row>
    <row r="361" spans="1:10" ht="15" customHeight="1" x14ac:dyDescent="0.35">
      <c r="A361" s="21">
        <v>45046</v>
      </c>
      <c r="B361" s="22" t="s">
        <v>29</v>
      </c>
      <c r="C361" s="22" t="s">
        <v>28</v>
      </c>
      <c r="D361" s="22" t="s">
        <v>31</v>
      </c>
      <c r="E361" s="23">
        <v>4</v>
      </c>
      <c r="F361" s="23">
        <v>1628</v>
      </c>
      <c r="G361" s="23">
        <v>6512</v>
      </c>
      <c r="H361" s="24">
        <v>800.30869981703495</v>
      </c>
      <c r="I361" s="25">
        <f t="shared" si="10"/>
        <v>0.12289752761318104</v>
      </c>
      <c r="J361" s="22" t="str">
        <f t="shared" si="11"/>
        <v>Low</v>
      </c>
    </row>
    <row r="362" spans="1:10" ht="15" customHeight="1" x14ac:dyDescent="0.35">
      <c r="A362" s="16">
        <v>45016</v>
      </c>
      <c r="B362" s="17" t="s">
        <v>24</v>
      </c>
      <c r="C362" s="17" t="s">
        <v>22</v>
      </c>
      <c r="D362" s="17" t="s">
        <v>31</v>
      </c>
      <c r="E362" s="18">
        <v>13</v>
      </c>
      <c r="F362" s="18">
        <v>501</v>
      </c>
      <c r="G362" s="18">
        <v>6513</v>
      </c>
      <c r="H362" s="19">
        <v>1151.28852905439</v>
      </c>
      <c r="I362" s="20">
        <f t="shared" si="10"/>
        <v>0.17676777660899584</v>
      </c>
      <c r="J362" s="17" t="str">
        <f t="shared" si="11"/>
        <v>Low</v>
      </c>
    </row>
    <row r="363" spans="1:10" ht="15" customHeight="1" x14ac:dyDescent="0.35">
      <c r="A363" s="21">
        <v>44957</v>
      </c>
      <c r="B363" s="22" t="s">
        <v>26</v>
      </c>
      <c r="C363" s="22" t="s">
        <v>28</v>
      </c>
      <c r="D363" s="22" t="s">
        <v>25</v>
      </c>
      <c r="E363" s="23">
        <v>49</v>
      </c>
      <c r="F363" s="23">
        <v>430</v>
      </c>
      <c r="G363" s="23">
        <v>21070</v>
      </c>
      <c r="H363" s="24">
        <v>4029.5806487386499</v>
      </c>
      <c r="I363" s="25">
        <f t="shared" si="10"/>
        <v>0.19124730179110822</v>
      </c>
      <c r="J363" s="22" t="str">
        <f t="shared" si="11"/>
        <v>Medium</v>
      </c>
    </row>
    <row r="364" spans="1:10" ht="15" customHeight="1" x14ac:dyDescent="0.35">
      <c r="A364" s="16">
        <v>44957</v>
      </c>
      <c r="B364" s="17" t="s">
        <v>18</v>
      </c>
      <c r="C364" s="17" t="s">
        <v>19</v>
      </c>
      <c r="D364" s="17" t="s">
        <v>31</v>
      </c>
      <c r="E364" s="18">
        <v>2</v>
      </c>
      <c r="F364" s="18">
        <v>1954</v>
      </c>
      <c r="G364" s="18">
        <v>3908</v>
      </c>
      <c r="H364" s="19">
        <v>679.25184180833196</v>
      </c>
      <c r="I364" s="20">
        <f t="shared" si="10"/>
        <v>0.17381060435218321</v>
      </c>
      <c r="J364" s="17" t="str">
        <f t="shared" si="11"/>
        <v>Low</v>
      </c>
    </row>
    <row r="365" spans="1:10" ht="15" customHeight="1" x14ac:dyDescent="0.35">
      <c r="A365" s="21">
        <v>45291</v>
      </c>
      <c r="B365" s="22" t="s">
        <v>26</v>
      </c>
      <c r="C365" s="22" t="s">
        <v>19</v>
      </c>
      <c r="D365" s="22" t="s">
        <v>20</v>
      </c>
      <c r="E365" s="23">
        <v>5</v>
      </c>
      <c r="F365" s="23">
        <v>1122</v>
      </c>
      <c r="G365" s="23">
        <v>5610</v>
      </c>
      <c r="H365" s="24">
        <v>696.79005054438699</v>
      </c>
      <c r="I365" s="25">
        <f t="shared" si="10"/>
        <v>0.12420500009703868</v>
      </c>
      <c r="J365" s="22" t="str">
        <f t="shared" si="11"/>
        <v>Low</v>
      </c>
    </row>
    <row r="366" spans="1:10" ht="15" customHeight="1" x14ac:dyDescent="0.35">
      <c r="A366" s="16">
        <v>45291</v>
      </c>
      <c r="B366" s="17" t="s">
        <v>18</v>
      </c>
      <c r="C366" s="17" t="s">
        <v>22</v>
      </c>
      <c r="D366" s="17" t="s">
        <v>20</v>
      </c>
      <c r="E366" s="18">
        <v>44</v>
      </c>
      <c r="F366" s="18">
        <v>1289</v>
      </c>
      <c r="G366" s="18">
        <v>56716</v>
      </c>
      <c r="H366" s="19">
        <v>10423.8085736546</v>
      </c>
      <c r="I366" s="20">
        <f t="shared" si="10"/>
        <v>0.18378955803749558</v>
      </c>
      <c r="J366" s="17" t="str">
        <f t="shared" si="11"/>
        <v>High</v>
      </c>
    </row>
    <row r="367" spans="1:10" ht="15" customHeight="1" x14ac:dyDescent="0.35">
      <c r="A367" s="21">
        <v>45077</v>
      </c>
      <c r="B367" s="22" t="s">
        <v>24</v>
      </c>
      <c r="C367" s="22" t="s">
        <v>27</v>
      </c>
      <c r="D367" s="22" t="s">
        <v>31</v>
      </c>
      <c r="E367" s="23">
        <v>27</v>
      </c>
      <c r="F367" s="23">
        <v>1136</v>
      </c>
      <c r="G367" s="23">
        <v>30672</v>
      </c>
      <c r="H367" s="24">
        <v>7675.2266164759603</v>
      </c>
      <c r="I367" s="25">
        <f t="shared" si="10"/>
        <v>0.25023560956168361</v>
      </c>
      <c r="J367" s="22" t="str">
        <f t="shared" si="11"/>
        <v>Medium</v>
      </c>
    </row>
    <row r="368" spans="1:10" ht="15" customHeight="1" x14ac:dyDescent="0.35">
      <c r="A368" s="16">
        <v>45107</v>
      </c>
      <c r="B368" s="17" t="s">
        <v>29</v>
      </c>
      <c r="C368" s="17" t="s">
        <v>30</v>
      </c>
      <c r="D368" s="17" t="s">
        <v>31</v>
      </c>
      <c r="E368" s="18">
        <v>32</v>
      </c>
      <c r="F368" s="18">
        <v>311</v>
      </c>
      <c r="G368" s="18">
        <v>9952</v>
      </c>
      <c r="H368" s="19">
        <v>1136.53365548699</v>
      </c>
      <c r="I368" s="20">
        <f t="shared" si="10"/>
        <v>0.11420153290665093</v>
      </c>
      <c r="J368" s="17" t="str">
        <f t="shared" si="11"/>
        <v>Low</v>
      </c>
    </row>
    <row r="369" spans="1:10" ht="15" customHeight="1" x14ac:dyDescent="0.35">
      <c r="A369" s="21">
        <v>45016</v>
      </c>
      <c r="B369" s="22" t="s">
        <v>26</v>
      </c>
      <c r="C369" s="22" t="s">
        <v>19</v>
      </c>
      <c r="D369" s="22" t="s">
        <v>25</v>
      </c>
      <c r="E369" s="23">
        <v>21</v>
      </c>
      <c r="F369" s="23">
        <v>1236</v>
      </c>
      <c r="G369" s="23">
        <v>25956</v>
      </c>
      <c r="H369" s="24">
        <v>3011.8304891019802</v>
      </c>
      <c r="I369" s="25">
        <f t="shared" si="10"/>
        <v>0.11603600281638081</v>
      </c>
      <c r="J369" s="22" t="str">
        <f t="shared" si="11"/>
        <v>Medium</v>
      </c>
    </row>
    <row r="370" spans="1:10" ht="15" customHeight="1" x14ac:dyDescent="0.35">
      <c r="A370" s="16">
        <v>45291</v>
      </c>
      <c r="B370" s="17" t="s">
        <v>29</v>
      </c>
      <c r="C370" s="17" t="s">
        <v>19</v>
      </c>
      <c r="D370" s="17" t="s">
        <v>31</v>
      </c>
      <c r="E370" s="18">
        <v>8</v>
      </c>
      <c r="F370" s="18">
        <v>1616</v>
      </c>
      <c r="G370" s="18">
        <v>12928</v>
      </c>
      <c r="H370" s="19">
        <v>2210.0966521711198</v>
      </c>
      <c r="I370" s="20">
        <f t="shared" si="10"/>
        <v>0.17095425836719677</v>
      </c>
      <c r="J370" s="17" t="str">
        <f t="shared" si="11"/>
        <v>Low</v>
      </c>
    </row>
    <row r="371" spans="1:10" ht="15" customHeight="1" x14ac:dyDescent="0.35">
      <c r="A371" s="21">
        <v>45199</v>
      </c>
      <c r="B371" s="22" t="s">
        <v>26</v>
      </c>
      <c r="C371" s="22" t="s">
        <v>27</v>
      </c>
      <c r="D371" s="22" t="s">
        <v>25</v>
      </c>
      <c r="E371" s="23">
        <v>38</v>
      </c>
      <c r="F371" s="23">
        <v>699</v>
      </c>
      <c r="G371" s="23">
        <v>26562</v>
      </c>
      <c r="H371" s="24">
        <v>7659.02367040438</v>
      </c>
      <c r="I371" s="25">
        <f t="shared" si="10"/>
        <v>0.28834514232378511</v>
      </c>
      <c r="J371" s="22" t="str">
        <f t="shared" si="11"/>
        <v>Medium</v>
      </c>
    </row>
    <row r="372" spans="1:10" ht="15" customHeight="1" x14ac:dyDescent="0.35">
      <c r="A372" s="16">
        <v>45077</v>
      </c>
      <c r="B372" s="17" t="s">
        <v>18</v>
      </c>
      <c r="C372" s="17" t="s">
        <v>27</v>
      </c>
      <c r="D372" s="17" t="s">
        <v>25</v>
      </c>
      <c r="E372" s="18">
        <v>8</v>
      </c>
      <c r="F372" s="18">
        <v>1131</v>
      </c>
      <c r="G372" s="18">
        <v>9048</v>
      </c>
      <c r="H372" s="19">
        <v>2114.64906150979</v>
      </c>
      <c r="I372" s="20">
        <f t="shared" si="10"/>
        <v>0.23371452934458334</v>
      </c>
      <c r="J372" s="17" t="str">
        <f t="shared" si="11"/>
        <v>Low</v>
      </c>
    </row>
    <row r="373" spans="1:10" ht="15" customHeight="1" x14ac:dyDescent="0.35">
      <c r="A373" s="21">
        <v>45169</v>
      </c>
      <c r="B373" s="22" t="s">
        <v>29</v>
      </c>
      <c r="C373" s="22" t="s">
        <v>28</v>
      </c>
      <c r="D373" s="22" t="s">
        <v>31</v>
      </c>
      <c r="E373" s="23">
        <v>3</v>
      </c>
      <c r="F373" s="23">
        <v>797</v>
      </c>
      <c r="G373" s="23">
        <v>2391</v>
      </c>
      <c r="H373" s="24">
        <v>563.63997328081996</v>
      </c>
      <c r="I373" s="25">
        <f t="shared" si="10"/>
        <v>0.23573399133451273</v>
      </c>
      <c r="J373" s="22" t="str">
        <f t="shared" si="11"/>
        <v>Low</v>
      </c>
    </row>
    <row r="374" spans="1:10" ht="15" customHeight="1" x14ac:dyDescent="0.35">
      <c r="A374" s="16">
        <v>44957</v>
      </c>
      <c r="B374" s="17" t="s">
        <v>26</v>
      </c>
      <c r="C374" s="17" t="s">
        <v>28</v>
      </c>
      <c r="D374" s="17" t="s">
        <v>21</v>
      </c>
      <c r="E374" s="18">
        <v>44</v>
      </c>
      <c r="F374" s="18">
        <v>433</v>
      </c>
      <c r="G374" s="18">
        <v>19052</v>
      </c>
      <c r="H374" s="19">
        <v>3284.2599330886001</v>
      </c>
      <c r="I374" s="20">
        <f t="shared" si="10"/>
        <v>0.17238399816757297</v>
      </c>
      <c r="J374" s="17" t="str">
        <f t="shared" si="11"/>
        <v>Low</v>
      </c>
    </row>
    <row r="375" spans="1:10" ht="15" customHeight="1" x14ac:dyDescent="0.35">
      <c r="A375" s="21">
        <v>45077</v>
      </c>
      <c r="B375" s="22" t="s">
        <v>18</v>
      </c>
      <c r="C375" s="22" t="s">
        <v>30</v>
      </c>
      <c r="D375" s="22" t="s">
        <v>21</v>
      </c>
      <c r="E375" s="23">
        <v>3</v>
      </c>
      <c r="F375" s="23">
        <v>801</v>
      </c>
      <c r="G375" s="23">
        <v>2403</v>
      </c>
      <c r="H375" s="24">
        <v>525.61337625482395</v>
      </c>
      <c r="I375" s="25">
        <f t="shared" si="10"/>
        <v>0.21873215824170783</v>
      </c>
      <c r="J375" s="22" t="str">
        <f t="shared" si="11"/>
        <v>Low</v>
      </c>
    </row>
    <row r="376" spans="1:10" ht="15" customHeight="1" x14ac:dyDescent="0.35">
      <c r="A376" s="16">
        <v>45016</v>
      </c>
      <c r="B376" s="17" t="s">
        <v>29</v>
      </c>
      <c r="C376" s="17" t="s">
        <v>30</v>
      </c>
      <c r="D376" s="17" t="s">
        <v>25</v>
      </c>
      <c r="E376" s="18">
        <v>22</v>
      </c>
      <c r="F376" s="18">
        <v>513</v>
      </c>
      <c r="G376" s="18">
        <v>11286</v>
      </c>
      <c r="H376" s="19">
        <v>1151.4681085874199</v>
      </c>
      <c r="I376" s="20">
        <f t="shared" si="10"/>
        <v>0.10202623680554845</v>
      </c>
      <c r="J376" s="17" t="str">
        <f t="shared" si="11"/>
        <v>Low</v>
      </c>
    </row>
    <row r="377" spans="1:10" ht="15" customHeight="1" x14ac:dyDescent="0.35">
      <c r="A377" s="21">
        <v>45291</v>
      </c>
      <c r="B377" s="22" t="s">
        <v>29</v>
      </c>
      <c r="C377" s="22" t="s">
        <v>22</v>
      </c>
      <c r="D377" s="22" t="s">
        <v>31</v>
      </c>
      <c r="E377" s="23">
        <v>6</v>
      </c>
      <c r="F377" s="23">
        <v>765</v>
      </c>
      <c r="G377" s="23">
        <v>4590</v>
      </c>
      <c r="H377" s="24">
        <v>1042.9361706039599</v>
      </c>
      <c r="I377" s="25">
        <f t="shared" si="10"/>
        <v>0.22721920928190847</v>
      </c>
      <c r="J377" s="22" t="str">
        <f t="shared" si="11"/>
        <v>Low</v>
      </c>
    </row>
    <row r="378" spans="1:10" ht="15" customHeight="1" x14ac:dyDescent="0.35">
      <c r="A378" s="16">
        <v>44957</v>
      </c>
      <c r="B378" s="17" t="s">
        <v>26</v>
      </c>
      <c r="C378" s="17" t="s">
        <v>28</v>
      </c>
      <c r="D378" s="17" t="s">
        <v>21</v>
      </c>
      <c r="E378" s="18">
        <v>2</v>
      </c>
      <c r="F378" s="18">
        <v>1235</v>
      </c>
      <c r="G378" s="18">
        <v>2470</v>
      </c>
      <c r="H378" s="19">
        <v>698.16375210266096</v>
      </c>
      <c r="I378" s="20">
        <f t="shared" si="10"/>
        <v>0.28265738951524738</v>
      </c>
      <c r="J378" s="17" t="str">
        <f t="shared" si="11"/>
        <v>Low</v>
      </c>
    </row>
    <row r="379" spans="1:10" ht="15" customHeight="1" x14ac:dyDescent="0.35">
      <c r="A379" s="21">
        <v>45046</v>
      </c>
      <c r="B379" s="22" t="s">
        <v>26</v>
      </c>
      <c r="C379" s="22" t="s">
        <v>19</v>
      </c>
      <c r="D379" s="22" t="s">
        <v>31</v>
      </c>
      <c r="E379" s="23">
        <v>23</v>
      </c>
      <c r="F379" s="23">
        <v>408</v>
      </c>
      <c r="G379" s="23">
        <v>9384</v>
      </c>
      <c r="H379" s="24">
        <v>2088.0778853895599</v>
      </c>
      <c r="I379" s="25">
        <f t="shared" si="10"/>
        <v>0.22251469366896418</v>
      </c>
      <c r="J379" s="22" t="str">
        <f t="shared" si="11"/>
        <v>Low</v>
      </c>
    </row>
    <row r="380" spans="1:10" ht="15" customHeight="1" x14ac:dyDescent="0.35">
      <c r="A380" s="16">
        <v>45077</v>
      </c>
      <c r="B380" s="17" t="s">
        <v>26</v>
      </c>
      <c r="C380" s="17" t="s">
        <v>28</v>
      </c>
      <c r="D380" s="17" t="s">
        <v>31</v>
      </c>
      <c r="E380" s="18">
        <v>44</v>
      </c>
      <c r="F380" s="18">
        <v>1237</v>
      </c>
      <c r="G380" s="18">
        <v>54428</v>
      </c>
      <c r="H380" s="19">
        <v>14953.5334090372</v>
      </c>
      <c r="I380" s="20">
        <f t="shared" si="10"/>
        <v>0.27473971869326819</v>
      </c>
      <c r="J380" s="17" t="str">
        <f t="shared" si="11"/>
        <v>High</v>
      </c>
    </row>
    <row r="381" spans="1:10" ht="15" customHeight="1" x14ac:dyDescent="0.35">
      <c r="A381" s="21">
        <v>45138</v>
      </c>
      <c r="B381" s="22" t="s">
        <v>18</v>
      </c>
      <c r="C381" s="22" t="s">
        <v>19</v>
      </c>
      <c r="D381" s="22" t="s">
        <v>31</v>
      </c>
      <c r="E381" s="23">
        <v>2</v>
      </c>
      <c r="F381" s="23">
        <v>1856</v>
      </c>
      <c r="G381" s="23">
        <v>3712</v>
      </c>
      <c r="H381" s="24">
        <v>908.67759637802806</v>
      </c>
      <c r="I381" s="25">
        <f t="shared" si="10"/>
        <v>0.24479461109321876</v>
      </c>
      <c r="J381" s="22" t="str">
        <f t="shared" si="11"/>
        <v>Low</v>
      </c>
    </row>
    <row r="382" spans="1:10" ht="15" customHeight="1" x14ac:dyDescent="0.35">
      <c r="A382" s="16">
        <v>44957</v>
      </c>
      <c r="B382" s="17" t="s">
        <v>26</v>
      </c>
      <c r="C382" s="17" t="s">
        <v>27</v>
      </c>
      <c r="D382" s="17" t="s">
        <v>23</v>
      </c>
      <c r="E382" s="18">
        <v>38</v>
      </c>
      <c r="F382" s="18">
        <v>1641</v>
      </c>
      <c r="G382" s="18">
        <v>62358</v>
      </c>
      <c r="H382" s="19">
        <v>7739.3563460202604</v>
      </c>
      <c r="I382" s="20">
        <f t="shared" si="10"/>
        <v>0.124111683280738</v>
      </c>
      <c r="J382" s="17" t="str">
        <f t="shared" si="11"/>
        <v>High</v>
      </c>
    </row>
    <row r="383" spans="1:10" ht="15" customHeight="1" x14ac:dyDescent="0.35">
      <c r="A383" s="21">
        <v>45016</v>
      </c>
      <c r="B383" s="22" t="s">
        <v>29</v>
      </c>
      <c r="C383" s="22" t="s">
        <v>28</v>
      </c>
      <c r="D383" s="22" t="s">
        <v>31</v>
      </c>
      <c r="E383" s="23">
        <v>17</v>
      </c>
      <c r="F383" s="23">
        <v>1660</v>
      </c>
      <c r="G383" s="23">
        <v>28220</v>
      </c>
      <c r="H383" s="24">
        <v>7915.4464663212902</v>
      </c>
      <c r="I383" s="25">
        <f t="shared" si="10"/>
        <v>0.28049066145716833</v>
      </c>
      <c r="J383" s="22" t="str">
        <f t="shared" si="11"/>
        <v>Medium</v>
      </c>
    </row>
    <row r="384" spans="1:10" ht="15" customHeight="1" x14ac:dyDescent="0.35">
      <c r="A384" s="16">
        <v>44985</v>
      </c>
      <c r="B384" s="17" t="s">
        <v>29</v>
      </c>
      <c r="C384" s="17" t="s">
        <v>27</v>
      </c>
      <c r="D384" s="17" t="s">
        <v>23</v>
      </c>
      <c r="E384" s="18">
        <v>35</v>
      </c>
      <c r="F384" s="18">
        <v>1600</v>
      </c>
      <c r="G384" s="18">
        <v>56000</v>
      </c>
      <c r="H384" s="19">
        <v>6344.1710567846803</v>
      </c>
      <c r="I384" s="20">
        <f t="shared" si="10"/>
        <v>0.11328876887115501</v>
      </c>
      <c r="J384" s="17" t="str">
        <f t="shared" si="11"/>
        <v>High</v>
      </c>
    </row>
    <row r="385" spans="1:10" ht="15" customHeight="1" x14ac:dyDescent="0.35">
      <c r="A385" s="21">
        <v>45199</v>
      </c>
      <c r="B385" s="22" t="s">
        <v>26</v>
      </c>
      <c r="C385" s="22" t="s">
        <v>30</v>
      </c>
      <c r="D385" s="22" t="s">
        <v>25</v>
      </c>
      <c r="E385" s="23">
        <v>34</v>
      </c>
      <c r="F385" s="23">
        <v>1243</v>
      </c>
      <c r="G385" s="23">
        <v>42262</v>
      </c>
      <c r="H385" s="24">
        <v>8739.5066649627206</v>
      </c>
      <c r="I385" s="25">
        <f t="shared" si="10"/>
        <v>0.20679349450955281</v>
      </c>
      <c r="J385" s="22" t="str">
        <f t="shared" si="11"/>
        <v>Medium</v>
      </c>
    </row>
    <row r="386" spans="1:10" ht="15" customHeight="1" x14ac:dyDescent="0.35">
      <c r="A386" s="16">
        <v>45230</v>
      </c>
      <c r="B386" s="17" t="s">
        <v>26</v>
      </c>
      <c r="C386" s="17" t="s">
        <v>30</v>
      </c>
      <c r="D386" s="17" t="s">
        <v>21</v>
      </c>
      <c r="E386" s="18">
        <v>23</v>
      </c>
      <c r="F386" s="18">
        <v>786</v>
      </c>
      <c r="G386" s="18">
        <v>18078</v>
      </c>
      <c r="H386" s="19">
        <v>2321.71098478763</v>
      </c>
      <c r="I386" s="20">
        <f t="shared" ref="I386:I449" si="12">IFERROR(H386/G386,0)</f>
        <v>0.12842742475869179</v>
      </c>
      <c r="J386" s="17" t="str">
        <f t="shared" ref="J386:J449" si="13">IF(G386&gt;=50000,"High",IF(G386&gt;=20000,"Medium","Low"))</f>
        <v>Low</v>
      </c>
    </row>
    <row r="387" spans="1:10" ht="15" customHeight="1" x14ac:dyDescent="0.35">
      <c r="A387" s="21">
        <v>45107</v>
      </c>
      <c r="B387" s="22" t="s">
        <v>24</v>
      </c>
      <c r="C387" s="22" t="s">
        <v>22</v>
      </c>
      <c r="D387" s="22" t="s">
        <v>21</v>
      </c>
      <c r="E387" s="23">
        <v>30</v>
      </c>
      <c r="F387" s="23">
        <v>1978</v>
      </c>
      <c r="G387" s="23">
        <v>59340</v>
      </c>
      <c r="H387" s="24">
        <v>6072.9340561543704</v>
      </c>
      <c r="I387" s="25">
        <f t="shared" si="12"/>
        <v>0.10234132214618083</v>
      </c>
      <c r="J387" s="22" t="str">
        <f t="shared" si="13"/>
        <v>High</v>
      </c>
    </row>
    <row r="388" spans="1:10" ht="15" customHeight="1" x14ac:dyDescent="0.35">
      <c r="A388" s="16">
        <v>45230</v>
      </c>
      <c r="B388" s="17" t="s">
        <v>29</v>
      </c>
      <c r="C388" s="17" t="s">
        <v>28</v>
      </c>
      <c r="D388" s="17" t="s">
        <v>21</v>
      </c>
      <c r="E388" s="18">
        <v>8</v>
      </c>
      <c r="F388" s="18">
        <v>1958</v>
      </c>
      <c r="G388" s="18">
        <v>15664</v>
      </c>
      <c r="H388" s="19">
        <v>2888.5489301278699</v>
      </c>
      <c r="I388" s="20">
        <f t="shared" si="12"/>
        <v>0.18440685202552795</v>
      </c>
      <c r="J388" s="17" t="str">
        <f t="shared" si="13"/>
        <v>Low</v>
      </c>
    </row>
    <row r="389" spans="1:10" ht="15" customHeight="1" x14ac:dyDescent="0.35">
      <c r="A389" s="21">
        <v>45016</v>
      </c>
      <c r="B389" s="22" t="s">
        <v>18</v>
      </c>
      <c r="C389" s="22" t="s">
        <v>27</v>
      </c>
      <c r="D389" s="22" t="s">
        <v>21</v>
      </c>
      <c r="E389" s="23">
        <v>22</v>
      </c>
      <c r="F389" s="23">
        <v>1214</v>
      </c>
      <c r="G389" s="23">
        <v>26708</v>
      </c>
      <c r="H389" s="24">
        <v>4246.7894440054397</v>
      </c>
      <c r="I389" s="25">
        <f t="shared" si="12"/>
        <v>0.1590081415308312</v>
      </c>
      <c r="J389" s="22" t="str">
        <f t="shared" si="13"/>
        <v>Medium</v>
      </c>
    </row>
    <row r="390" spans="1:10" ht="15" customHeight="1" x14ac:dyDescent="0.35">
      <c r="A390" s="16">
        <v>45169</v>
      </c>
      <c r="B390" s="17" t="s">
        <v>24</v>
      </c>
      <c r="C390" s="17" t="s">
        <v>19</v>
      </c>
      <c r="D390" s="17" t="s">
        <v>21</v>
      </c>
      <c r="E390" s="18">
        <v>44</v>
      </c>
      <c r="F390" s="18">
        <v>1293</v>
      </c>
      <c r="G390" s="18">
        <v>56892</v>
      </c>
      <c r="H390" s="19">
        <v>11219.108018626701</v>
      </c>
      <c r="I390" s="20">
        <f t="shared" si="12"/>
        <v>0.19720009875952157</v>
      </c>
      <c r="J390" s="17" t="str">
        <f t="shared" si="13"/>
        <v>High</v>
      </c>
    </row>
    <row r="391" spans="1:10" ht="15" customHeight="1" x14ac:dyDescent="0.35">
      <c r="A391" s="21">
        <v>45169</v>
      </c>
      <c r="B391" s="22" t="s">
        <v>26</v>
      </c>
      <c r="C391" s="22" t="s">
        <v>30</v>
      </c>
      <c r="D391" s="22" t="s">
        <v>21</v>
      </c>
      <c r="E391" s="23">
        <v>36</v>
      </c>
      <c r="F391" s="23">
        <v>1434</v>
      </c>
      <c r="G391" s="23">
        <v>51624</v>
      </c>
      <c r="H391" s="24">
        <v>11121.873390556901</v>
      </c>
      <c r="I391" s="25">
        <f t="shared" si="12"/>
        <v>0.21543997734691037</v>
      </c>
      <c r="J391" s="22" t="str">
        <f t="shared" si="13"/>
        <v>High</v>
      </c>
    </row>
    <row r="392" spans="1:10" ht="15" customHeight="1" x14ac:dyDescent="0.35">
      <c r="A392" s="16">
        <v>44985</v>
      </c>
      <c r="B392" s="17" t="s">
        <v>26</v>
      </c>
      <c r="C392" s="17" t="s">
        <v>30</v>
      </c>
      <c r="D392" s="17" t="s">
        <v>21</v>
      </c>
      <c r="E392" s="18">
        <v>5</v>
      </c>
      <c r="F392" s="18">
        <v>1324</v>
      </c>
      <c r="G392" s="18">
        <v>6620</v>
      </c>
      <c r="H392" s="19">
        <v>719.91053173704597</v>
      </c>
      <c r="I392" s="20">
        <f t="shared" si="12"/>
        <v>0.10874781446178942</v>
      </c>
      <c r="J392" s="17" t="str">
        <f t="shared" si="13"/>
        <v>Low</v>
      </c>
    </row>
    <row r="393" spans="1:10" ht="15" customHeight="1" x14ac:dyDescent="0.35">
      <c r="A393" s="21">
        <v>45107</v>
      </c>
      <c r="B393" s="22" t="s">
        <v>29</v>
      </c>
      <c r="C393" s="22" t="s">
        <v>19</v>
      </c>
      <c r="D393" s="22" t="s">
        <v>25</v>
      </c>
      <c r="E393" s="23">
        <v>13</v>
      </c>
      <c r="F393" s="23">
        <v>897</v>
      </c>
      <c r="G393" s="23">
        <v>11661</v>
      </c>
      <c r="H393" s="24">
        <v>1452.9682848876</v>
      </c>
      <c r="I393" s="25">
        <f t="shared" si="12"/>
        <v>0.12460065902474916</v>
      </c>
      <c r="J393" s="22" t="str">
        <f t="shared" si="13"/>
        <v>Low</v>
      </c>
    </row>
    <row r="394" spans="1:10" ht="15" customHeight="1" x14ac:dyDescent="0.35">
      <c r="A394" s="16">
        <v>45138</v>
      </c>
      <c r="B394" s="17" t="s">
        <v>26</v>
      </c>
      <c r="C394" s="17" t="s">
        <v>27</v>
      </c>
      <c r="D394" s="17" t="s">
        <v>31</v>
      </c>
      <c r="E394" s="18">
        <v>29</v>
      </c>
      <c r="F394" s="18">
        <v>331</v>
      </c>
      <c r="G394" s="18">
        <v>9599</v>
      </c>
      <c r="H394" s="19">
        <v>2032.38167270553</v>
      </c>
      <c r="I394" s="20">
        <f t="shared" si="12"/>
        <v>0.21172847929008543</v>
      </c>
      <c r="J394" s="17" t="str">
        <f t="shared" si="13"/>
        <v>Low</v>
      </c>
    </row>
    <row r="395" spans="1:10" ht="15" customHeight="1" x14ac:dyDescent="0.35">
      <c r="A395" s="21">
        <v>44985</v>
      </c>
      <c r="B395" s="22" t="s">
        <v>18</v>
      </c>
      <c r="C395" s="22" t="s">
        <v>27</v>
      </c>
      <c r="D395" s="22" t="s">
        <v>20</v>
      </c>
      <c r="E395" s="23">
        <v>31</v>
      </c>
      <c r="F395" s="23">
        <v>1846</v>
      </c>
      <c r="G395" s="23">
        <v>57226</v>
      </c>
      <c r="H395" s="24">
        <v>9650.21899053171</v>
      </c>
      <c r="I395" s="25">
        <f t="shared" si="12"/>
        <v>0.16863347063453168</v>
      </c>
      <c r="J395" s="22" t="str">
        <f t="shared" si="13"/>
        <v>High</v>
      </c>
    </row>
    <row r="396" spans="1:10" ht="15" customHeight="1" x14ac:dyDescent="0.35">
      <c r="A396" s="16">
        <v>45260</v>
      </c>
      <c r="B396" s="17" t="s">
        <v>29</v>
      </c>
      <c r="C396" s="17" t="s">
        <v>28</v>
      </c>
      <c r="D396" s="17" t="s">
        <v>23</v>
      </c>
      <c r="E396" s="18">
        <v>47</v>
      </c>
      <c r="F396" s="18">
        <v>1604</v>
      </c>
      <c r="G396" s="18">
        <v>75388</v>
      </c>
      <c r="H396" s="19">
        <v>18532.986175875601</v>
      </c>
      <c r="I396" s="20">
        <f t="shared" si="12"/>
        <v>0.24583469750989018</v>
      </c>
      <c r="J396" s="17" t="str">
        <f t="shared" si="13"/>
        <v>High</v>
      </c>
    </row>
    <row r="397" spans="1:10" ht="15" customHeight="1" x14ac:dyDescent="0.35">
      <c r="A397" s="21">
        <v>45230</v>
      </c>
      <c r="B397" s="22" t="s">
        <v>26</v>
      </c>
      <c r="C397" s="22" t="s">
        <v>28</v>
      </c>
      <c r="D397" s="22" t="s">
        <v>20</v>
      </c>
      <c r="E397" s="23">
        <v>16</v>
      </c>
      <c r="F397" s="23">
        <v>1355</v>
      </c>
      <c r="G397" s="23">
        <v>21680</v>
      </c>
      <c r="H397" s="24">
        <v>4996.33658829465</v>
      </c>
      <c r="I397" s="25">
        <f t="shared" si="12"/>
        <v>0.23045832971838792</v>
      </c>
      <c r="J397" s="22" t="str">
        <f t="shared" si="13"/>
        <v>Medium</v>
      </c>
    </row>
    <row r="398" spans="1:10" ht="15" customHeight="1" x14ac:dyDescent="0.35">
      <c r="A398" s="16">
        <v>44985</v>
      </c>
      <c r="B398" s="17" t="s">
        <v>29</v>
      </c>
      <c r="C398" s="17" t="s">
        <v>22</v>
      </c>
      <c r="D398" s="17" t="s">
        <v>20</v>
      </c>
      <c r="E398" s="18">
        <v>42</v>
      </c>
      <c r="F398" s="18">
        <v>1243</v>
      </c>
      <c r="G398" s="18">
        <v>52206</v>
      </c>
      <c r="H398" s="19">
        <v>14049.724274850199</v>
      </c>
      <c r="I398" s="20">
        <f t="shared" si="12"/>
        <v>0.26912087259798106</v>
      </c>
      <c r="J398" s="17" t="str">
        <f t="shared" si="13"/>
        <v>High</v>
      </c>
    </row>
    <row r="399" spans="1:10" ht="15" customHeight="1" x14ac:dyDescent="0.35">
      <c r="A399" s="21">
        <v>45230</v>
      </c>
      <c r="B399" s="22" t="s">
        <v>26</v>
      </c>
      <c r="C399" s="22" t="s">
        <v>30</v>
      </c>
      <c r="D399" s="22" t="s">
        <v>31</v>
      </c>
      <c r="E399" s="23">
        <v>30</v>
      </c>
      <c r="F399" s="23">
        <v>735</v>
      </c>
      <c r="G399" s="23">
        <v>22050</v>
      </c>
      <c r="H399" s="24">
        <v>5258.8933656112804</v>
      </c>
      <c r="I399" s="25">
        <f t="shared" si="12"/>
        <v>0.23849856533384492</v>
      </c>
      <c r="J399" s="22" t="str">
        <f t="shared" si="13"/>
        <v>Medium</v>
      </c>
    </row>
    <row r="400" spans="1:10" ht="15" customHeight="1" x14ac:dyDescent="0.35">
      <c r="A400" s="16">
        <v>44957</v>
      </c>
      <c r="B400" s="17" t="s">
        <v>26</v>
      </c>
      <c r="C400" s="17" t="s">
        <v>28</v>
      </c>
      <c r="D400" s="17" t="s">
        <v>31</v>
      </c>
      <c r="E400" s="18">
        <v>16</v>
      </c>
      <c r="F400" s="18">
        <v>1213</v>
      </c>
      <c r="G400" s="18">
        <v>19408</v>
      </c>
      <c r="H400" s="19">
        <v>3609.6204699976001</v>
      </c>
      <c r="I400" s="20">
        <f t="shared" si="12"/>
        <v>0.18598621547802968</v>
      </c>
      <c r="J400" s="17" t="str">
        <f t="shared" si="13"/>
        <v>Low</v>
      </c>
    </row>
    <row r="401" spans="1:10" ht="15" customHeight="1" x14ac:dyDescent="0.35">
      <c r="A401" s="21">
        <v>45169</v>
      </c>
      <c r="B401" s="22" t="s">
        <v>26</v>
      </c>
      <c r="C401" s="22" t="s">
        <v>27</v>
      </c>
      <c r="D401" s="22" t="s">
        <v>31</v>
      </c>
      <c r="E401" s="23">
        <v>12</v>
      </c>
      <c r="F401" s="23">
        <v>426</v>
      </c>
      <c r="G401" s="23">
        <v>5112</v>
      </c>
      <c r="H401" s="24">
        <v>1199.24107473607</v>
      </c>
      <c r="I401" s="25">
        <f t="shared" si="12"/>
        <v>0.23459332447888692</v>
      </c>
      <c r="J401" s="22" t="str">
        <f t="shared" si="13"/>
        <v>Low</v>
      </c>
    </row>
    <row r="402" spans="1:10" ht="15" customHeight="1" x14ac:dyDescent="0.35">
      <c r="A402" s="16">
        <v>44957</v>
      </c>
      <c r="B402" s="17" t="s">
        <v>18</v>
      </c>
      <c r="C402" s="17" t="s">
        <v>19</v>
      </c>
      <c r="D402" s="17" t="s">
        <v>21</v>
      </c>
      <c r="E402" s="18">
        <v>17</v>
      </c>
      <c r="F402" s="18">
        <v>1377</v>
      </c>
      <c r="G402" s="18">
        <v>23409</v>
      </c>
      <c r="H402" s="19">
        <v>3630.17958162902</v>
      </c>
      <c r="I402" s="20">
        <f t="shared" si="12"/>
        <v>0.15507623485108377</v>
      </c>
      <c r="J402" s="17" t="str">
        <f t="shared" si="13"/>
        <v>Medium</v>
      </c>
    </row>
    <row r="403" spans="1:10" ht="15" customHeight="1" x14ac:dyDescent="0.35">
      <c r="A403" s="21">
        <v>45199</v>
      </c>
      <c r="B403" s="22" t="s">
        <v>18</v>
      </c>
      <c r="C403" s="22" t="s">
        <v>27</v>
      </c>
      <c r="D403" s="22" t="s">
        <v>25</v>
      </c>
      <c r="E403" s="23">
        <v>16</v>
      </c>
      <c r="F403" s="23">
        <v>1965</v>
      </c>
      <c r="G403" s="23">
        <v>31440</v>
      </c>
      <c r="H403" s="24">
        <v>5070.0992803174004</v>
      </c>
      <c r="I403" s="25">
        <f t="shared" si="12"/>
        <v>0.1612626997556425</v>
      </c>
      <c r="J403" s="22" t="str">
        <f t="shared" si="13"/>
        <v>Medium</v>
      </c>
    </row>
    <row r="404" spans="1:10" ht="15" customHeight="1" x14ac:dyDescent="0.35">
      <c r="A404" s="16">
        <v>45260</v>
      </c>
      <c r="B404" s="17" t="s">
        <v>29</v>
      </c>
      <c r="C404" s="17" t="s">
        <v>30</v>
      </c>
      <c r="D404" s="17" t="s">
        <v>21</v>
      </c>
      <c r="E404" s="18">
        <v>12</v>
      </c>
      <c r="F404" s="18">
        <v>1692</v>
      </c>
      <c r="G404" s="18">
        <v>20304</v>
      </c>
      <c r="H404" s="19">
        <v>5234.3109374063597</v>
      </c>
      <c r="I404" s="20">
        <f t="shared" si="12"/>
        <v>0.25779703198415876</v>
      </c>
      <c r="J404" s="17" t="str">
        <f t="shared" si="13"/>
        <v>Medium</v>
      </c>
    </row>
    <row r="405" spans="1:10" ht="15" customHeight="1" x14ac:dyDescent="0.35">
      <c r="A405" s="21">
        <v>45107</v>
      </c>
      <c r="B405" s="22" t="s">
        <v>26</v>
      </c>
      <c r="C405" s="22" t="s">
        <v>27</v>
      </c>
      <c r="D405" s="22" t="s">
        <v>25</v>
      </c>
      <c r="E405" s="23">
        <v>8</v>
      </c>
      <c r="F405" s="23">
        <v>1021</v>
      </c>
      <c r="G405" s="23">
        <v>8168</v>
      </c>
      <c r="H405" s="24">
        <v>1546.07092199363</v>
      </c>
      <c r="I405" s="25">
        <f t="shared" si="12"/>
        <v>0.18928390328031708</v>
      </c>
      <c r="J405" s="22" t="str">
        <f t="shared" si="13"/>
        <v>Low</v>
      </c>
    </row>
    <row r="406" spans="1:10" ht="15" customHeight="1" x14ac:dyDescent="0.35">
      <c r="A406" s="16">
        <v>45138</v>
      </c>
      <c r="B406" s="17" t="s">
        <v>26</v>
      </c>
      <c r="C406" s="17" t="s">
        <v>22</v>
      </c>
      <c r="D406" s="17" t="s">
        <v>25</v>
      </c>
      <c r="E406" s="18">
        <v>20</v>
      </c>
      <c r="F406" s="18">
        <v>1070</v>
      </c>
      <c r="G406" s="18">
        <v>21400</v>
      </c>
      <c r="H406" s="19">
        <v>5557.0678574185504</v>
      </c>
      <c r="I406" s="20">
        <f t="shared" si="12"/>
        <v>0.25967606810367055</v>
      </c>
      <c r="J406" s="17" t="str">
        <f t="shared" si="13"/>
        <v>Medium</v>
      </c>
    </row>
    <row r="407" spans="1:10" ht="15" customHeight="1" x14ac:dyDescent="0.35">
      <c r="A407" s="21">
        <v>45230</v>
      </c>
      <c r="B407" s="22" t="s">
        <v>18</v>
      </c>
      <c r="C407" s="22" t="s">
        <v>30</v>
      </c>
      <c r="D407" s="22" t="s">
        <v>20</v>
      </c>
      <c r="E407" s="23">
        <v>3</v>
      </c>
      <c r="F407" s="23">
        <v>604</v>
      </c>
      <c r="G407" s="23">
        <v>1812</v>
      </c>
      <c r="H407" s="24">
        <v>479.24586821738399</v>
      </c>
      <c r="I407" s="25">
        <f t="shared" si="12"/>
        <v>0.26448447473365561</v>
      </c>
      <c r="J407" s="22" t="str">
        <f t="shared" si="13"/>
        <v>Low</v>
      </c>
    </row>
    <row r="408" spans="1:10" ht="15" customHeight="1" x14ac:dyDescent="0.35">
      <c r="A408" s="16">
        <v>45138</v>
      </c>
      <c r="B408" s="17" t="s">
        <v>26</v>
      </c>
      <c r="C408" s="17" t="s">
        <v>19</v>
      </c>
      <c r="D408" s="17" t="s">
        <v>20</v>
      </c>
      <c r="E408" s="18">
        <v>16</v>
      </c>
      <c r="F408" s="18">
        <v>401</v>
      </c>
      <c r="G408" s="18">
        <v>6416</v>
      </c>
      <c r="H408" s="19">
        <v>1742.02399168696</v>
      </c>
      <c r="I408" s="20">
        <f t="shared" si="12"/>
        <v>0.27151246753225688</v>
      </c>
      <c r="J408" s="17" t="str">
        <f t="shared" si="13"/>
        <v>Low</v>
      </c>
    </row>
    <row r="409" spans="1:10" ht="15" customHeight="1" x14ac:dyDescent="0.35">
      <c r="A409" s="21">
        <v>45230</v>
      </c>
      <c r="B409" s="22" t="s">
        <v>18</v>
      </c>
      <c r="C409" s="22" t="s">
        <v>22</v>
      </c>
      <c r="D409" s="22" t="s">
        <v>25</v>
      </c>
      <c r="E409" s="23">
        <v>30</v>
      </c>
      <c r="F409" s="23">
        <v>237</v>
      </c>
      <c r="G409" s="23">
        <v>7110</v>
      </c>
      <c r="H409" s="24">
        <v>2014.4553053662</v>
      </c>
      <c r="I409" s="25">
        <f t="shared" si="12"/>
        <v>0.28332704716824192</v>
      </c>
      <c r="J409" s="22" t="str">
        <f t="shared" si="13"/>
        <v>Low</v>
      </c>
    </row>
    <row r="410" spans="1:10" ht="15" customHeight="1" x14ac:dyDescent="0.35">
      <c r="A410" s="16">
        <v>45016</v>
      </c>
      <c r="B410" s="17" t="s">
        <v>26</v>
      </c>
      <c r="C410" s="17" t="s">
        <v>30</v>
      </c>
      <c r="D410" s="17" t="s">
        <v>25</v>
      </c>
      <c r="E410" s="18">
        <v>45</v>
      </c>
      <c r="F410" s="18">
        <v>1141</v>
      </c>
      <c r="G410" s="18">
        <v>51345</v>
      </c>
      <c r="H410" s="19">
        <v>9560.2872294510398</v>
      </c>
      <c r="I410" s="20">
        <f t="shared" si="12"/>
        <v>0.18619704410265928</v>
      </c>
      <c r="J410" s="17" t="str">
        <f t="shared" si="13"/>
        <v>High</v>
      </c>
    </row>
    <row r="411" spans="1:10" ht="15" customHeight="1" x14ac:dyDescent="0.35">
      <c r="A411" s="21">
        <v>44985</v>
      </c>
      <c r="B411" s="22" t="s">
        <v>29</v>
      </c>
      <c r="C411" s="22" t="s">
        <v>19</v>
      </c>
      <c r="D411" s="22" t="s">
        <v>21</v>
      </c>
      <c r="E411" s="23">
        <v>23</v>
      </c>
      <c r="F411" s="23">
        <v>1995</v>
      </c>
      <c r="G411" s="23">
        <v>45885</v>
      </c>
      <c r="H411" s="24">
        <v>7514.7407917330902</v>
      </c>
      <c r="I411" s="25">
        <f t="shared" si="12"/>
        <v>0.16377336366422776</v>
      </c>
      <c r="J411" s="22" t="str">
        <f t="shared" si="13"/>
        <v>Medium</v>
      </c>
    </row>
    <row r="412" spans="1:10" ht="15" customHeight="1" x14ac:dyDescent="0.35">
      <c r="A412" s="16">
        <v>45199</v>
      </c>
      <c r="B412" s="17" t="s">
        <v>26</v>
      </c>
      <c r="C412" s="17" t="s">
        <v>22</v>
      </c>
      <c r="D412" s="17" t="s">
        <v>21</v>
      </c>
      <c r="E412" s="18">
        <v>28</v>
      </c>
      <c r="F412" s="18">
        <v>387</v>
      </c>
      <c r="G412" s="18">
        <v>10836</v>
      </c>
      <c r="H412" s="19">
        <v>2345.3411236187599</v>
      </c>
      <c r="I412" s="20">
        <f t="shared" si="12"/>
        <v>0.21643974931882243</v>
      </c>
      <c r="J412" s="17" t="str">
        <f t="shared" si="13"/>
        <v>Low</v>
      </c>
    </row>
    <row r="413" spans="1:10" ht="15" customHeight="1" x14ac:dyDescent="0.35">
      <c r="A413" s="21">
        <v>45169</v>
      </c>
      <c r="B413" s="22" t="s">
        <v>26</v>
      </c>
      <c r="C413" s="22" t="s">
        <v>22</v>
      </c>
      <c r="D413" s="22" t="s">
        <v>20</v>
      </c>
      <c r="E413" s="23">
        <v>40</v>
      </c>
      <c r="F413" s="23">
        <v>1280</v>
      </c>
      <c r="G413" s="23">
        <v>51200</v>
      </c>
      <c r="H413" s="24">
        <v>8920.8056160013093</v>
      </c>
      <c r="I413" s="25">
        <f t="shared" si="12"/>
        <v>0.17423448468752556</v>
      </c>
      <c r="J413" s="22" t="str">
        <f t="shared" si="13"/>
        <v>High</v>
      </c>
    </row>
    <row r="414" spans="1:10" ht="15" customHeight="1" x14ac:dyDescent="0.35">
      <c r="A414" s="16">
        <v>45291</v>
      </c>
      <c r="B414" s="17" t="s">
        <v>24</v>
      </c>
      <c r="C414" s="17" t="s">
        <v>30</v>
      </c>
      <c r="D414" s="17" t="s">
        <v>31</v>
      </c>
      <c r="E414" s="18">
        <v>5</v>
      </c>
      <c r="F414" s="18">
        <v>1140</v>
      </c>
      <c r="G414" s="18">
        <v>5700</v>
      </c>
      <c r="H414" s="19">
        <v>1255.22455015227</v>
      </c>
      <c r="I414" s="20">
        <f t="shared" si="12"/>
        <v>0.22021483336004738</v>
      </c>
      <c r="J414" s="17" t="str">
        <f t="shared" si="13"/>
        <v>Low</v>
      </c>
    </row>
    <row r="415" spans="1:10" ht="15" customHeight="1" x14ac:dyDescent="0.35">
      <c r="A415" s="21">
        <v>45230</v>
      </c>
      <c r="B415" s="22" t="s">
        <v>18</v>
      </c>
      <c r="C415" s="22" t="s">
        <v>28</v>
      </c>
      <c r="D415" s="22" t="s">
        <v>25</v>
      </c>
      <c r="E415" s="23">
        <v>20</v>
      </c>
      <c r="F415" s="23">
        <v>1243</v>
      </c>
      <c r="G415" s="23">
        <v>24860</v>
      </c>
      <c r="H415" s="24">
        <v>5994.1729090650997</v>
      </c>
      <c r="I415" s="25">
        <f t="shared" si="12"/>
        <v>0.24111717252876508</v>
      </c>
      <c r="J415" s="22" t="str">
        <f t="shared" si="13"/>
        <v>Medium</v>
      </c>
    </row>
    <row r="416" spans="1:10" ht="15" customHeight="1" x14ac:dyDescent="0.35">
      <c r="A416" s="16">
        <v>45138</v>
      </c>
      <c r="B416" s="17" t="s">
        <v>26</v>
      </c>
      <c r="C416" s="17" t="s">
        <v>22</v>
      </c>
      <c r="D416" s="17" t="s">
        <v>21</v>
      </c>
      <c r="E416" s="18">
        <v>40</v>
      </c>
      <c r="F416" s="18">
        <v>472</v>
      </c>
      <c r="G416" s="18">
        <v>18880</v>
      </c>
      <c r="H416" s="19">
        <v>4487.4173498263099</v>
      </c>
      <c r="I416" s="20">
        <f t="shared" si="12"/>
        <v>0.23768100369842743</v>
      </c>
      <c r="J416" s="17" t="str">
        <f t="shared" si="13"/>
        <v>Low</v>
      </c>
    </row>
    <row r="417" spans="1:10" ht="15" customHeight="1" x14ac:dyDescent="0.35">
      <c r="A417" s="21">
        <v>45199</v>
      </c>
      <c r="B417" s="22" t="s">
        <v>26</v>
      </c>
      <c r="C417" s="22" t="s">
        <v>22</v>
      </c>
      <c r="D417" s="22" t="s">
        <v>20</v>
      </c>
      <c r="E417" s="23">
        <v>44</v>
      </c>
      <c r="F417" s="23">
        <v>1342</v>
      </c>
      <c r="G417" s="23">
        <v>59048</v>
      </c>
      <c r="H417" s="24">
        <v>10328.119774552801</v>
      </c>
      <c r="I417" s="25">
        <f t="shared" si="12"/>
        <v>0.17491057740402385</v>
      </c>
      <c r="J417" s="22" t="str">
        <f t="shared" si="13"/>
        <v>High</v>
      </c>
    </row>
    <row r="418" spans="1:10" ht="15" customHeight="1" x14ac:dyDescent="0.35">
      <c r="A418" s="16">
        <v>45046</v>
      </c>
      <c r="B418" s="17" t="s">
        <v>24</v>
      </c>
      <c r="C418" s="17" t="s">
        <v>19</v>
      </c>
      <c r="D418" s="17" t="s">
        <v>21</v>
      </c>
      <c r="E418" s="18">
        <v>1</v>
      </c>
      <c r="F418" s="18">
        <v>782</v>
      </c>
      <c r="G418" s="18">
        <v>782</v>
      </c>
      <c r="H418" s="19">
        <v>104.296935545685</v>
      </c>
      <c r="I418" s="20">
        <f t="shared" si="12"/>
        <v>0.13337204033975064</v>
      </c>
      <c r="J418" s="17" t="str">
        <f t="shared" si="13"/>
        <v>Low</v>
      </c>
    </row>
    <row r="419" spans="1:10" ht="15" customHeight="1" x14ac:dyDescent="0.35">
      <c r="A419" s="21">
        <v>45046</v>
      </c>
      <c r="B419" s="22" t="s">
        <v>24</v>
      </c>
      <c r="C419" s="22" t="s">
        <v>27</v>
      </c>
      <c r="D419" s="22" t="s">
        <v>25</v>
      </c>
      <c r="E419" s="23">
        <v>30</v>
      </c>
      <c r="F419" s="23">
        <v>715</v>
      </c>
      <c r="G419" s="23">
        <v>21450</v>
      </c>
      <c r="H419" s="24">
        <v>3991.97086200287</v>
      </c>
      <c r="I419" s="25">
        <f t="shared" si="12"/>
        <v>0.1861058676924415</v>
      </c>
      <c r="J419" s="22" t="str">
        <f t="shared" si="13"/>
        <v>Medium</v>
      </c>
    </row>
    <row r="420" spans="1:10" ht="15" customHeight="1" x14ac:dyDescent="0.35">
      <c r="A420" s="16">
        <v>44957</v>
      </c>
      <c r="B420" s="17" t="s">
        <v>18</v>
      </c>
      <c r="C420" s="17" t="s">
        <v>30</v>
      </c>
      <c r="D420" s="17" t="s">
        <v>25</v>
      </c>
      <c r="E420" s="18">
        <v>21</v>
      </c>
      <c r="F420" s="18">
        <v>1444</v>
      </c>
      <c r="G420" s="18">
        <v>30324</v>
      </c>
      <c r="H420" s="19">
        <v>3897.20496502796</v>
      </c>
      <c r="I420" s="20">
        <f t="shared" si="12"/>
        <v>0.12851882881638174</v>
      </c>
      <c r="J420" s="17" t="str">
        <f t="shared" si="13"/>
        <v>Medium</v>
      </c>
    </row>
    <row r="421" spans="1:10" ht="15" customHeight="1" x14ac:dyDescent="0.35">
      <c r="A421" s="21">
        <v>45169</v>
      </c>
      <c r="B421" s="22" t="s">
        <v>24</v>
      </c>
      <c r="C421" s="22" t="s">
        <v>30</v>
      </c>
      <c r="D421" s="22" t="s">
        <v>23</v>
      </c>
      <c r="E421" s="23">
        <v>20</v>
      </c>
      <c r="F421" s="23">
        <v>725</v>
      </c>
      <c r="G421" s="23">
        <v>14500</v>
      </c>
      <c r="H421" s="24">
        <v>4031.2814020330402</v>
      </c>
      <c r="I421" s="25">
        <f t="shared" si="12"/>
        <v>0.27801940703676137</v>
      </c>
      <c r="J421" s="22" t="str">
        <f t="shared" si="13"/>
        <v>Low</v>
      </c>
    </row>
    <row r="422" spans="1:10" ht="15" customHeight="1" x14ac:dyDescent="0.35">
      <c r="A422" s="16">
        <v>45291</v>
      </c>
      <c r="B422" s="17" t="s">
        <v>29</v>
      </c>
      <c r="C422" s="17" t="s">
        <v>28</v>
      </c>
      <c r="D422" s="17" t="s">
        <v>31</v>
      </c>
      <c r="E422" s="18">
        <v>6</v>
      </c>
      <c r="F422" s="18">
        <v>1738</v>
      </c>
      <c r="G422" s="18">
        <v>10428</v>
      </c>
      <c r="H422" s="19">
        <v>1764.16203211488</v>
      </c>
      <c r="I422" s="20">
        <f t="shared" si="12"/>
        <v>0.16917549214757194</v>
      </c>
      <c r="J422" s="17" t="str">
        <f t="shared" si="13"/>
        <v>Low</v>
      </c>
    </row>
    <row r="423" spans="1:10" ht="15" customHeight="1" x14ac:dyDescent="0.35">
      <c r="A423" s="21">
        <v>45016</v>
      </c>
      <c r="B423" s="22" t="s">
        <v>24</v>
      </c>
      <c r="C423" s="22" t="s">
        <v>28</v>
      </c>
      <c r="D423" s="22" t="s">
        <v>23</v>
      </c>
      <c r="E423" s="23">
        <v>22</v>
      </c>
      <c r="F423" s="23">
        <v>1951</v>
      </c>
      <c r="G423" s="23">
        <v>42922</v>
      </c>
      <c r="H423" s="24">
        <v>5618.1442540639</v>
      </c>
      <c r="I423" s="25">
        <f t="shared" si="12"/>
        <v>0.13089194944466473</v>
      </c>
      <c r="J423" s="22" t="str">
        <f t="shared" si="13"/>
        <v>Medium</v>
      </c>
    </row>
    <row r="424" spans="1:10" ht="15" customHeight="1" x14ac:dyDescent="0.35">
      <c r="A424" s="16">
        <v>45138</v>
      </c>
      <c r="B424" s="17" t="s">
        <v>29</v>
      </c>
      <c r="C424" s="17" t="s">
        <v>30</v>
      </c>
      <c r="D424" s="17" t="s">
        <v>20</v>
      </c>
      <c r="E424" s="18">
        <v>18</v>
      </c>
      <c r="F424" s="18">
        <v>1964</v>
      </c>
      <c r="G424" s="18">
        <v>35352</v>
      </c>
      <c r="H424" s="19">
        <v>3715.1258416376199</v>
      </c>
      <c r="I424" s="20">
        <f t="shared" si="12"/>
        <v>0.10508955198115015</v>
      </c>
      <c r="J424" s="17" t="str">
        <f t="shared" si="13"/>
        <v>Medium</v>
      </c>
    </row>
    <row r="425" spans="1:10" ht="15" customHeight="1" x14ac:dyDescent="0.35">
      <c r="A425" s="21">
        <v>45291</v>
      </c>
      <c r="B425" s="22" t="s">
        <v>18</v>
      </c>
      <c r="C425" s="22" t="s">
        <v>28</v>
      </c>
      <c r="D425" s="22" t="s">
        <v>21</v>
      </c>
      <c r="E425" s="23">
        <v>8</v>
      </c>
      <c r="F425" s="23">
        <v>535</v>
      </c>
      <c r="G425" s="23">
        <v>4280</v>
      </c>
      <c r="H425" s="24">
        <v>980.82396266123101</v>
      </c>
      <c r="I425" s="25">
        <f t="shared" si="12"/>
        <v>0.22916447725729697</v>
      </c>
      <c r="J425" s="22" t="str">
        <f t="shared" si="13"/>
        <v>Low</v>
      </c>
    </row>
    <row r="426" spans="1:10" ht="15" customHeight="1" x14ac:dyDescent="0.35">
      <c r="A426" s="16">
        <v>44985</v>
      </c>
      <c r="B426" s="17" t="s">
        <v>18</v>
      </c>
      <c r="C426" s="17" t="s">
        <v>19</v>
      </c>
      <c r="D426" s="17" t="s">
        <v>20</v>
      </c>
      <c r="E426" s="18">
        <v>39</v>
      </c>
      <c r="F426" s="18">
        <v>897</v>
      </c>
      <c r="G426" s="18">
        <v>34983</v>
      </c>
      <c r="H426" s="19">
        <v>7954.4507543038599</v>
      </c>
      <c r="I426" s="20">
        <f t="shared" si="12"/>
        <v>0.22738046349094873</v>
      </c>
      <c r="J426" s="17" t="str">
        <f t="shared" si="13"/>
        <v>Medium</v>
      </c>
    </row>
    <row r="427" spans="1:10" ht="15" customHeight="1" x14ac:dyDescent="0.35">
      <c r="A427" s="21">
        <v>44985</v>
      </c>
      <c r="B427" s="22" t="s">
        <v>18</v>
      </c>
      <c r="C427" s="22" t="s">
        <v>30</v>
      </c>
      <c r="D427" s="22" t="s">
        <v>25</v>
      </c>
      <c r="E427" s="23">
        <v>32</v>
      </c>
      <c r="F427" s="23">
        <v>1278</v>
      </c>
      <c r="G427" s="23">
        <v>40896</v>
      </c>
      <c r="H427" s="24">
        <v>6875.4695993017003</v>
      </c>
      <c r="I427" s="25">
        <f t="shared" si="12"/>
        <v>0.16812083331625832</v>
      </c>
      <c r="J427" s="22" t="str">
        <f t="shared" si="13"/>
        <v>Medium</v>
      </c>
    </row>
    <row r="428" spans="1:10" ht="15" customHeight="1" x14ac:dyDescent="0.35">
      <c r="A428" s="16">
        <v>45138</v>
      </c>
      <c r="B428" s="17" t="s">
        <v>18</v>
      </c>
      <c r="C428" s="17" t="s">
        <v>28</v>
      </c>
      <c r="D428" s="17" t="s">
        <v>23</v>
      </c>
      <c r="E428" s="18">
        <v>33</v>
      </c>
      <c r="F428" s="18">
        <v>699</v>
      </c>
      <c r="G428" s="18">
        <v>23067</v>
      </c>
      <c r="H428" s="19">
        <v>2637.5356280097499</v>
      </c>
      <c r="I428" s="20">
        <f t="shared" si="12"/>
        <v>0.11434237776953006</v>
      </c>
      <c r="J428" s="17" t="str">
        <f t="shared" si="13"/>
        <v>Medium</v>
      </c>
    </row>
    <row r="429" spans="1:10" ht="15" customHeight="1" x14ac:dyDescent="0.35">
      <c r="A429" s="21">
        <v>45107</v>
      </c>
      <c r="B429" s="22" t="s">
        <v>18</v>
      </c>
      <c r="C429" s="22" t="s">
        <v>30</v>
      </c>
      <c r="D429" s="22" t="s">
        <v>23</v>
      </c>
      <c r="E429" s="23">
        <v>16</v>
      </c>
      <c r="F429" s="23">
        <v>1099</v>
      </c>
      <c r="G429" s="23">
        <v>17584</v>
      </c>
      <c r="H429" s="24">
        <v>3198.98289756755</v>
      </c>
      <c r="I429" s="25">
        <f t="shared" si="12"/>
        <v>0.1819257789790463</v>
      </c>
      <c r="J429" s="22" t="str">
        <f t="shared" si="13"/>
        <v>Low</v>
      </c>
    </row>
    <row r="430" spans="1:10" ht="15" customHeight="1" x14ac:dyDescent="0.35">
      <c r="A430" s="16">
        <v>45016</v>
      </c>
      <c r="B430" s="17" t="s">
        <v>29</v>
      </c>
      <c r="C430" s="17" t="s">
        <v>27</v>
      </c>
      <c r="D430" s="17" t="s">
        <v>23</v>
      </c>
      <c r="E430" s="18">
        <v>12</v>
      </c>
      <c r="F430" s="18">
        <v>965</v>
      </c>
      <c r="G430" s="18">
        <v>11580</v>
      </c>
      <c r="H430" s="19">
        <v>1878.7797185668201</v>
      </c>
      <c r="I430" s="20">
        <f t="shared" si="12"/>
        <v>0.16224349901267876</v>
      </c>
      <c r="J430" s="17" t="str">
        <f t="shared" si="13"/>
        <v>Low</v>
      </c>
    </row>
    <row r="431" spans="1:10" ht="15" customHeight="1" x14ac:dyDescent="0.35">
      <c r="A431" s="21">
        <v>45199</v>
      </c>
      <c r="B431" s="22" t="s">
        <v>29</v>
      </c>
      <c r="C431" s="22" t="s">
        <v>22</v>
      </c>
      <c r="D431" s="22" t="s">
        <v>20</v>
      </c>
      <c r="E431" s="23">
        <v>38</v>
      </c>
      <c r="F431" s="23">
        <v>735</v>
      </c>
      <c r="G431" s="23">
        <v>27930</v>
      </c>
      <c r="H431" s="24">
        <v>6575.3958935597602</v>
      </c>
      <c r="I431" s="25">
        <f t="shared" si="12"/>
        <v>0.23542412794700179</v>
      </c>
      <c r="J431" s="22" t="str">
        <f t="shared" si="13"/>
        <v>Medium</v>
      </c>
    </row>
    <row r="432" spans="1:10" ht="15" customHeight="1" x14ac:dyDescent="0.35">
      <c r="A432" s="16">
        <v>45230</v>
      </c>
      <c r="B432" s="17" t="s">
        <v>18</v>
      </c>
      <c r="C432" s="17" t="s">
        <v>30</v>
      </c>
      <c r="D432" s="17" t="s">
        <v>25</v>
      </c>
      <c r="E432" s="18">
        <v>34</v>
      </c>
      <c r="F432" s="18">
        <v>361</v>
      </c>
      <c r="G432" s="18">
        <v>12274</v>
      </c>
      <c r="H432" s="19">
        <v>2714.46690155646</v>
      </c>
      <c r="I432" s="20">
        <f t="shared" si="12"/>
        <v>0.22115584989053771</v>
      </c>
      <c r="J432" s="17" t="str">
        <f t="shared" si="13"/>
        <v>Low</v>
      </c>
    </row>
    <row r="433" spans="1:10" ht="15" customHeight="1" x14ac:dyDescent="0.35">
      <c r="A433" s="21">
        <v>45107</v>
      </c>
      <c r="B433" s="22" t="s">
        <v>24</v>
      </c>
      <c r="C433" s="22" t="s">
        <v>22</v>
      </c>
      <c r="D433" s="22" t="s">
        <v>21</v>
      </c>
      <c r="E433" s="23">
        <v>14</v>
      </c>
      <c r="F433" s="23">
        <v>1893</v>
      </c>
      <c r="G433" s="23">
        <v>26502</v>
      </c>
      <c r="H433" s="24">
        <v>4582.6925969382401</v>
      </c>
      <c r="I433" s="25">
        <f t="shared" si="12"/>
        <v>0.17291874563950796</v>
      </c>
      <c r="J433" s="22" t="str">
        <f t="shared" si="13"/>
        <v>Medium</v>
      </c>
    </row>
    <row r="434" spans="1:10" ht="15" customHeight="1" x14ac:dyDescent="0.35">
      <c r="A434" s="16">
        <v>45230</v>
      </c>
      <c r="B434" s="17" t="s">
        <v>26</v>
      </c>
      <c r="C434" s="17" t="s">
        <v>28</v>
      </c>
      <c r="D434" s="17" t="s">
        <v>21</v>
      </c>
      <c r="E434" s="18">
        <v>36</v>
      </c>
      <c r="F434" s="18">
        <v>793</v>
      </c>
      <c r="G434" s="18">
        <v>28548</v>
      </c>
      <c r="H434" s="19">
        <v>4098.8793277742898</v>
      </c>
      <c r="I434" s="20">
        <f t="shared" si="12"/>
        <v>0.14357851085099796</v>
      </c>
      <c r="J434" s="17" t="str">
        <f t="shared" si="13"/>
        <v>Medium</v>
      </c>
    </row>
    <row r="435" spans="1:10" ht="15" customHeight="1" x14ac:dyDescent="0.35">
      <c r="A435" s="21">
        <v>45230</v>
      </c>
      <c r="B435" s="22" t="s">
        <v>18</v>
      </c>
      <c r="C435" s="22" t="s">
        <v>22</v>
      </c>
      <c r="D435" s="22" t="s">
        <v>20</v>
      </c>
      <c r="E435" s="23">
        <v>33</v>
      </c>
      <c r="F435" s="23">
        <v>358</v>
      </c>
      <c r="G435" s="23">
        <v>11814</v>
      </c>
      <c r="H435" s="24">
        <v>3515.93138083243</v>
      </c>
      <c r="I435" s="25">
        <f t="shared" si="12"/>
        <v>0.29760719323111817</v>
      </c>
      <c r="J435" s="22" t="str">
        <f t="shared" si="13"/>
        <v>Low</v>
      </c>
    </row>
    <row r="436" spans="1:10" ht="15" customHeight="1" x14ac:dyDescent="0.35">
      <c r="A436" s="16">
        <v>45107</v>
      </c>
      <c r="B436" s="17" t="s">
        <v>24</v>
      </c>
      <c r="C436" s="17" t="s">
        <v>30</v>
      </c>
      <c r="D436" s="17" t="s">
        <v>23</v>
      </c>
      <c r="E436" s="18">
        <v>23</v>
      </c>
      <c r="F436" s="18">
        <v>1411</v>
      </c>
      <c r="G436" s="18">
        <v>32453</v>
      </c>
      <c r="H436" s="19">
        <v>6192.0429225355001</v>
      </c>
      <c r="I436" s="20">
        <f t="shared" si="12"/>
        <v>0.19080032423922288</v>
      </c>
      <c r="J436" s="17" t="str">
        <f t="shared" si="13"/>
        <v>Medium</v>
      </c>
    </row>
    <row r="437" spans="1:10" ht="15" customHeight="1" x14ac:dyDescent="0.35">
      <c r="A437" s="21">
        <v>44957</v>
      </c>
      <c r="B437" s="22" t="s">
        <v>26</v>
      </c>
      <c r="C437" s="22" t="s">
        <v>27</v>
      </c>
      <c r="D437" s="22" t="s">
        <v>31</v>
      </c>
      <c r="E437" s="23">
        <v>45</v>
      </c>
      <c r="F437" s="23">
        <v>259</v>
      </c>
      <c r="G437" s="23">
        <v>11655</v>
      </c>
      <c r="H437" s="24">
        <v>2769.86724360373</v>
      </c>
      <c r="I437" s="25">
        <f t="shared" si="12"/>
        <v>0.23765484715604718</v>
      </c>
      <c r="J437" s="22" t="str">
        <f t="shared" si="13"/>
        <v>Low</v>
      </c>
    </row>
    <row r="438" spans="1:10" ht="15" customHeight="1" x14ac:dyDescent="0.35">
      <c r="A438" s="16">
        <v>45046</v>
      </c>
      <c r="B438" s="17" t="s">
        <v>18</v>
      </c>
      <c r="C438" s="17" t="s">
        <v>28</v>
      </c>
      <c r="D438" s="17" t="s">
        <v>20</v>
      </c>
      <c r="E438" s="18">
        <v>2</v>
      </c>
      <c r="F438" s="18">
        <v>1114</v>
      </c>
      <c r="G438" s="18">
        <v>2228</v>
      </c>
      <c r="H438" s="19">
        <v>285.43040235291801</v>
      </c>
      <c r="I438" s="20">
        <f t="shared" si="12"/>
        <v>0.12811059351567236</v>
      </c>
      <c r="J438" s="17" t="str">
        <f t="shared" si="13"/>
        <v>Low</v>
      </c>
    </row>
    <row r="439" spans="1:10" ht="15" customHeight="1" x14ac:dyDescent="0.35">
      <c r="A439" s="21">
        <v>45230</v>
      </c>
      <c r="B439" s="22" t="s">
        <v>18</v>
      </c>
      <c r="C439" s="22" t="s">
        <v>30</v>
      </c>
      <c r="D439" s="22" t="s">
        <v>20</v>
      </c>
      <c r="E439" s="23">
        <v>41</v>
      </c>
      <c r="F439" s="23">
        <v>1542</v>
      </c>
      <c r="G439" s="23">
        <v>63222</v>
      </c>
      <c r="H439" s="24">
        <v>12462.190398373299</v>
      </c>
      <c r="I439" s="25">
        <f t="shared" si="12"/>
        <v>0.1971179399318797</v>
      </c>
      <c r="J439" s="22" t="str">
        <f t="shared" si="13"/>
        <v>High</v>
      </c>
    </row>
    <row r="440" spans="1:10" ht="15" customHeight="1" x14ac:dyDescent="0.35">
      <c r="A440" s="16">
        <v>45107</v>
      </c>
      <c r="B440" s="17" t="s">
        <v>29</v>
      </c>
      <c r="C440" s="17" t="s">
        <v>28</v>
      </c>
      <c r="D440" s="17" t="s">
        <v>25</v>
      </c>
      <c r="E440" s="18">
        <v>21</v>
      </c>
      <c r="F440" s="18">
        <v>410</v>
      </c>
      <c r="G440" s="18">
        <v>8610</v>
      </c>
      <c r="H440" s="19">
        <v>908.41823161521995</v>
      </c>
      <c r="I440" s="20">
        <f t="shared" si="12"/>
        <v>0.10550734397389314</v>
      </c>
      <c r="J440" s="17" t="str">
        <f t="shared" si="13"/>
        <v>Low</v>
      </c>
    </row>
    <row r="441" spans="1:10" ht="15" customHeight="1" x14ac:dyDescent="0.35">
      <c r="A441" s="21">
        <v>45107</v>
      </c>
      <c r="B441" s="22" t="s">
        <v>26</v>
      </c>
      <c r="C441" s="22" t="s">
        <v>19</v>
      </c>
      <c r="D441" s="22" t="s">
        <v>21</v>
      </c>
      <c r="E441" s="23">
        <v>2</v>
      </c>
      <c r="F441" s="23">
        <v>605</v>
      </c>
      <c r="G441" s="23">
        <v>1210</v>
      </c>
      <c r="H441" s="24">
        <v>243.320138534329</v>
      </c>
      <c r="I441" s="25">
        <f t="shared" si="12"/>
        <v>0.20109102358209008</v>
      </c>
      <c r="J441" s="22" t="str">
        <f t="shared" si="13"/>
        <v>Low</v>
      </c>
    </row>
    <row r="442" spans="1:10" ht="15" customHeight="1" x14ac:dyDescent="0.35">
      <c r="A442" s="16">
        <v>45260</v>
      </c>
      <c r="B442" s="17" t="s">
        <v>26</v>
      </c>
      <c r="C442" s="17" t="s">
        <v>22</v>
      </c>
      <c r="D442" s="17" t="s">
        <v>20</v>
      </c>
      <c r="E442" s="18">
        <v>27</v>
      </c>
      <c r="F442" s="18">
        <v>863</v>
      </c>
      <c r="G442" s="18">
        <v>23301</v>
      </c>
      <c r="H442" s="19">
        <v>6822.6139206499201</v>
      </c>
      <c r="I442" s="20">
        <f t="shared" si="12"/>
        <v>0.29280348142354062</v>
      </c>
      <c r="J442" s="17" t="str">
        <f t="shared" si="13"/>
        <v>Medium</v>
      </c>
    </row>
    <row r="443" spans="1:10" ht="15" customHeight="1" x14ac:dyDescent="0.35">
      <c r="A443" s="21">
        <v>45291</v>
      </c>
      <c r="B443" s="22" t="s">
        <v>24</v>
      </c>
      <c r="C443" s="22" t="s">
        <v>19</v>
      </c>
      <c r="D443" s="22" t="s">
        <v>20</v>
      </c>
      <c r="E443" s="23">
        <v>9</v>
      </c>
      <c r="F443" s="23">
        <v>1332</v>
      </c>
      <c r="G443" s="23">
        <v>11988</v>
      </c>
      <c r="H443" s="24">
        <v>2119.97401505476</v>
      </c>
      <c r="I443" s="25">
        <f t="shared" si="12"/>
        <v>0.1768413425971605</v>
      </c>
      <c r="J443" s="22" t="str">
        <f t="shared" si="13"/>
        <v>Low</v>
      </c>
    </row>
    <row r="444" spans="1:10" ht="15" customHeight="1" x14ac:dyDescent="0.35">
      <c r="A444" s="16">
        <v>45077</v>
      </c>
      <c r="B444" s="17" t="s">
        <v>29</v>
      </c>
      <c r="C444" s="17" t="s">
        <v>30</v>
      </c>
      <c r="D444" s="17" t="s">
        <v>23</v>
      </c>
      <c r="E444" s="18">
        <v>1</v>
      </c>
      <c r="F444" s="18">
        <v>1299</v>
      </c>
      <c r="G444" s="18">
        <v>1299</v>
      </c>
      <c r="H444" s="19">
        <v>140.03116406696199</v>
      </c>
      <c r="I444" s="20">
        <f t="shared" si="12"/>
        <v>0.10779920251498229</v>
      </c>
      <c r="J444" s="17" t="str">
        <f t="shared" si="13"/>
        <v>Low</v>
      </c>
    </row>
    <row r="445" spans="1:10" ht="15" customHeight="1" x14ac:dyDescent="0.35">
      <c r="A445" s="21">
        <v>44957</v>
      </c>
      <c r="B445" s="22" t="s">
        <v>29</v>
      </c>
      <c r="C445" s="22" t="s">
        <v>27</v>
      </c>
      <c r="D445" s="22" t="s">
        <v>23</v>
      </c>
      <c r="E445" s="23">
        <v>11</v>
      </c>
      <c r="F445" s="23">
        <v>741</v>
      </c>
      <c r="G445" s="23">
        <v>8151</v>
      </c>
      <c r="H445" s="24">
        <v>865.56413035671403</v>
      </c>
      <c r="I445" s="25">
        <f t="shared" si="12"/>
        <v>0.10619115818386873</v>
      </c>
      <c r="J445" s="22" t="str">
        <f t="shared" si="13"/>
        <v>Low</v>
      </c>
    </row>
    <row r="446" spans="1:10" ht="15" customHeight="1" x14ac:dyDescent="0.35">
      <c r="A446" s="16">
        <v>45169</v>
      </c>
      <c r="B446" s="17" t="s">
        <v>29</v>
      </c>
      <c r="C446" s="17" t="s">
        <v>28</v>
      </c>
      <c r="D446" s="17" t="s">
        <v>31</v>
      </c>
      <c r="E446" s="18">
        <v>3</v>
      </c>
      <c r="F446" s="18">
        <v>1537</v>
      </c>
      <c r="G446" s="18">
        <v>4611</v>
      </c>
      <c r="H446" s="19">
        <v>818.90139002300305</v>
      </c>
      <c r="I446" s="20">
        <f t="shared" si="12"/>
        <v>0.1775973519893739</v>
      </c>
      <c r="J446" s="17" t="str">
        <f t="shared" si="13"/>
        <v>Low</v>
      </c>
    </row>
    <row r="447" spans="1:10" ht="15" customHeight="1" x14ac:dyDescent="0.35">
      <c r="A447" s="21">
        <v>45077</v>
      </c>
      <c r="B447" s="22" t="s">
        <v>29</v>
      </c>
      <c r="C447" s="22" t="s">
        <v>22</v>
      </c>
      <c r="D447" s="22" t="s">
        <v>25</v>
      </c>
      <c r="E447" s="23">
        <v>23</v>
      </c>
      <c r="F447" s="23">
        <v>1197</v>
      </c>
      <c r="G447" s="23">
        <v>27531</v>
      </c>
      <c r="H447" s="24">
        <v>3634.2293051536399</v>
      </c>
      <c r="I447" s="25">
        <f t="shared" si="12"/>
        <v>0.13200498729263885</v>
      </c>
      <c r="J447" s="22" t="str">
        <f t="shared" si="13"/>
        <v>Medium</v>
      </c>
    </row>
    <row r="448" spans="1:10" ht="15" customHeight="1" x14ac:dyDescent="0.35">
      <c r="A448" s="16">
        <v>45291</v>
      </c>
      <c r="B448" s="17" t="s">
        <v>26</v>
      </c>
      <c r="C448" s="17" t="s">
        <v>28</v>
      </c>
      <c r="D448" s="17" t="s">
        <v>31</v>
      </c>
      <c r="E448" s="18">
        <v>26</v>
      </c>
      <c r="F448" s="18">
        <v>1340</v>
      </c>
      <c r="G448" s="18">
        <v>34840</v>
      </c>
      <c r="H448" s="19">
        <v>3646.7174072148</v>
      </c>
      <c r="I448" s="20">
        <f t="shared" si="12"/>
        <v>0.10467041926563719</v>
      </c>
      <c r="J448" s="17" t="str">
        <f t="shared" si="13"/>
        <v>Medium</v>
      </c>
    </row>
    <row r="449" spans="1:10" ht="15" customHeight="1" x14ac:dyDescent="0.35">
      <c r="A449" s="21">
        <v>45291</v>
      </c>
      <c r="B449" s="22" t="s">
        <v>26</v>
      </c>
      <c r="C449" s="22" t="s">
        <v>30</v>
      </c>
      <c r="D449" s="22" t="s">
        <v>23</v>
      </c>
      <c r="E449" s="23">
        <v>4</v>
      </c>
      <c r="F449" s="23">
        <v>1126</v>
      </c>
      <c r="G449" s="23">
        <v>4504</v>
      </c>
      <c r="H449" s="24">
        <v>1131.59722344632</v>
      </c>
      <c r="I449" s="25">
        <f t="shared" si="12"/>
        <v>0.25124272279003551</v>
      </c>
      <c r="J449" s="22" t="str">
        <f t="shared" si="13"/>
        <v>Low</v>
      </c>
    </row>
    <row r="450" spans="1:10" ht="15" customHeight="1" x14ac:dyDescent="0.35">
      <c r="A450" s="16">
        <v>45291</v>
      </c>
      <c r="B450" s="17" t="s">
        <v>18</v>
      </c>
      <c r="C450" s="17" t="s">
        <v>28</v>
      </c>
      <c r="D450" s="17" t="s">
        <v>21</v>
      </c>
      <c r="E450" s="18">
        <v>18</v>
      </c>
      <c r="F450" s="18">
        <v>1067</v>
      </c>
      <c r="G450" s="18">
        <v>19206</v>
      </c>
      <c r="H450" s="19">
        <v>3681.8785817171201</v>
      </c>
      <c r="I450" s="20">
        <f t="shared" ref="I450:I513" si="14">IFERROR(H450/G450,0)</f>
        <v>0.19170460177637821</v>
      </c>
      <c r="J450" s="17" t="str">
        <f t="shared" ref="J450:J501" si="15">IF(G450&gt;=50000,"High",IF(G450&gt;=20000,"Medium","Low"))</f>
        <v>Low</v>
      </c>
    </row>
    <row r="451" spans="1:10" ht="15" customHeight="1" x14ac:dyDescent="0.35">
      <c r="A451" s="21">
        <v>45077</v>
      </c>
      <c r="B451" s="22" t="s">
        <v>18</v>
      </c>
      <c r="C451" s="22" t="s">
        <v>22</v>
      </c>
      <c r="D451" s="22" t="s">
        <v>23</v>
      </c>
      <c r="E451" s="23">
        <v>6</v>
      </c>
      <c r="F451" s="23">
        <v>1927</v>
      </c>
      <c r="G451" s="23">
        <v>11562</v>
      </c>
      <c r="H451" s="24">
        <v>1825.0496107095701</v>
      </c>
      <c r="I451" s="25">
        <f t="shared" si="14"/>
        <v>0.15784895439453123</v>
      </c>
      <c r="J451" s="22" t="str">
        <f t="shared" si="15"/>
        <v>Low</v>
      </c>
    </row>
    <row r="452" spans="1:10" ht="15" customHeight="1" x14ac:dyDescent="0.35">
      <c r="A452" s="16">
        <v>45138</v>
      </c>
      <c r="B452" s="17" t="s">
        <v>29</v>
      </c>
      <c r="C452" s="17" t="s">
        <v>30</v>
      </c>
      <c r="D452" s="17" t="s">
        <v>25</v>
      </c>
      <c r="E452" s="18">
        <v>35</v>
      </c>
      <c r="F452" s="18">
        <v>218</v>
      </c>
      <c r="G452" s="18">
        <v>7630</v>
      </c>
      <c r="H452" s="19">
        <v>2136.5269372831499</v>
      </c>
      <c r="I452" s="20">
        <f t="shared" si="14"/>
        <v>0.28001663660329618</v>
      </c>
      <c r="J452" s="17" t="str">
        <f t="shared" si="15"/>
        <v>Low</v>
      </c>
    </row>
    <row r="453" spans="1:10" ht="15" customHeight="1" x14ac:dyDescent="0.35">
      <c r="A453" s="21">
        <v>45046</v>
      </c>
      <c r="B453" s="22" t="s">
        <v>29</v>
      </c>
      <c r="C453" s="22" t="s">
        <v>28</v>
      </c>
      <c r="D453" s="22" t="s">
        <v>23</v>
      </c>
      <c r="E453" s="23">
        <v>22</v>
      </c>
      <c r="F453" s="23">
        <v>631</v>
      </c>
      <c r="G453" s="23">
        <v>13882</v>
      </c>
      <c r="H453" s="24">
        <v>1710.6482091007399</v>
      </c>
      <c r="I453" s="25">
        <f t="shared" si="14"/>
        <v>0.12322779204010517</v>
      </c>
      <c r="J453" s="22" t="str">
        <f t="shared" si="15"/>
        <v>Low</v>
      </c>
    </row>
    <row r="454" spans="1:10" ht="15" customHeight="1" x14ac:dyDescent="0.35">
      <c r="A454" s="16">
        <v>45107</v>
      </c>
      <c r="B454" s="17" t="s">
        <v>29</v>
      </c>
      <c r="C454" s="17" t="s">
        <v>27</v>
      </c>
      <c r="D454" s="17" t="s">
        <v>25</v>
      </c>
      <c r="E454" s="18">
        <v>43</v>
      </c>
      <c r="F454" s="18">
        <v>1908</v>
      </c>
      <c r="G454" s="18">
        <v>82044</v>
      </c>
      <c r="H454" s="19">
        <v>23889.880880561999</v>
      </c>
      <c r="I454" s="20">
        <f t="shared" si="14"/>
        <v>0.29118376579106331</v>
      </c>
      <c r="J454" s="17" t="str">
        <f t="shared" si="15"/>
        <v>High</v>
      </c>
    </row>
    <row r="455" spans="1:10" ht="15" customHeight="1" x14ac:dyDescent="0.35">
      <c r="A455" s="21">
        <v>45046</v>
      </c>
      <c r="B455" s="22" t="s">
        <v>18</v>
      </c>
      <c r="C455" s="22" t="s">
        <v>30</v>
      </c>
      <c r="D455" s="22" t="s">
        <v>25</v>
      </c>
      <c r="E455" s="23">
        <v>15</v>
      </c>
      <c r="F455" s="23">
        <v>939</v>
      </c>
      <c r="G455" s="23">
        <v>14085</v>
      </c>
      <c r="H455" s="24">
        <v>2292.9442428520001</v>
      </c>
      <c r="I455" s="25">
        <f t="shared" si="14"/>
        <v>0.16279334347547036</v>
      </c>
      <c r="J455" s="22" t="str">
        <f t="shared" si="15"/>
        <v>Low</v>
      </c>
    </row>
    <row r="456" spans="1:10" ht="15" customHeight="1" x14ac:dyDescent="0.35">
      <c r="A456" s="16">
        <v>45016</v>
      </c>
      <c r="B456" s="17" t="s">
        <v>24</v>
      </c>
      <c r="C456" s="17" t="s">
        <v>30</v>
      </c>
      <c r="D456" s="17" t="s">
        <v>25</v>
      </c>
      <c r="E456" s="18">
        <v>22</v>
      </c>
      <c r="F456" s="18">
        <v>1573</v>
      </c>
      <c r="G456" s="18">
        <v>34606</v>
      </c>
      <c r="H456" s="19">
        <v>9609.4194967828407</v>
      </c>
      <c r="I456" s="20">
        <f t="shared" si="14"/>
        <v>0.27768073446173613</v>
      </c>
      <c r="J456" s="17" t="str">
        <f t="shared" si="15"/>
        <v>Medium</v>
      </c>
    </row>
    <row r="457" spans="1:10" ht="15" customHeight="1" x14ac:dyDescent="0.35">
      <c r="A457" s="21">
        <v>45138</v>
      </c>
      <c r="B457" s="22" t="s">
        <v>24</v>
      </c>
      <c r="C457" s="22" t="s">
        <v>27</v>
      </c>
      <c r="D457" s="22" t="s">
        <v>25</v>
      </c>
      <c r="E457" s="23">
        <v>37</v>
      </c>
      <c r="F457" s="23">
        <v>382</v>
      </c>
      <c r="G457" s="23">
        <v>14134</v>
      </c>
      <c r="H457" s="24">
        <v>3117.7989232321402</v>
      </c>
      <c r="I457" s="25">
        <f t="shared" si="14"/>
        <v>0.22058857529589218</v>
      </c>
      <c r="J457" s="22" t="str">
        <f t="shared" si="15"/>
        <v>Low</v>
      </c>
    </row>
    <row r="458" spans="1:10" ht="15" customHeight="1" x14ac:dyDescent="0.35">
      <c r="A458" s="16">
        <v>45169</v>
      </c>
      <c r="B458" s="17" t="s">
        <v>18</v>
      </c>
      <c r="C458" s="17" t="s">
        <v>19</v>
      </c>
      <c r="D458" s="17" t="s">
        <v>25</v>
      </c>
      <c r="E458" s="18">
        <v>42</v>
      </c>
      <c r="F458" s="18">
        <v>312</v>
      </c>
      <c r="G458" s="18">
        <v>13104</v>
      </c>
      <c r="H458" s="19">
        <v>3477.0346484104898</v>
      </c>
      <c r="I458" s="20">
        <f t="shared" si="14"/>
        <v>0.26534147194829744</v>
      </c>
      <c r="J458" s="17" t="str">
        <f t="shared" si="15"/>
        <v>Low</v>
      </c>
    </row>
    <row r="459" spans="1:10" ht="15" customHeight="1" x14ac:dyDescent="0.35">
      <c r="A459" s="21">
        <v>45046</v>
      </c>
      <c r="B459" s="22" t="s">
        <v>18</v>
      </c>
      <c r="C459" s="22" t="s">
        <v>22</v>
      </c>
      <c r="D459" s="22" t="s">
        <v>21</v>
      </c>
      <c r="E459" s="23">
        <v>12</v>
      </c>
      <c r="F459" s="23">
        <v>1406</v>
      </c>
      <c r="G459" s="23">
        <v>16872</v>
      </c>
      <c r="H459" s="24">
        <v>5007.6540179373897</v>
      </c>
      <c r="I459" s="25">
        <f t="shared" si="14"/>
        <v>0.29680263264209278</v>
      </c>
      <c r="J459" s="22" t="str">
        <f t="shared" si="15"/>
        <v>Low</v>
      </c>
    </row>
    <row r="460" spans="1:10" ht="15" customHeight="1" x14ac:dyDescent="0.35">
      <c r="A460" s="16">
        <v>44985</v>
      </c>
      <c r="B460" s="17" t="s">
        <v>18</v>
      </c>
      <c r="C460" s="17" t="s">
        <v>19</v>
      </c>
      <c r="D460" s="17" t="s">
        <v>31</v>
      </c>
      <c r="E460" s="18">
        <v>47</v>
      </c>
      <c r="F460" s="18">
        <v>680</v>
      </c>
      <c r="G460" s="18">
        <v>31960</v>
      </c>
      <c r="H460" s="19">
        <v>5039.4875585374202</v>
      </c>
      <c r="I460" s="20">
        <f t="shared" si="14"/>
        <v>0.15768108756374907</v>
      </c>
      <c r="J460" s="17" t="str">
        <f t="shared" si="15"/>
        <v>Medium</v>
      </c>
    </row>
    <row r="461" spans="1:10" ht="15" customHeight="1" x14ac:dyDescent="0.35">
      <c r="A461" s="21">
        <v>45291</v>
      </c>
      <c r="B461" s="22" t="s">
        <v>18</v>
      </c>
      <c r="C461" s="22" t="s">
        <v>28</v>
      </c>
      <c r="D461" s="22" t="s">
        <v>20</v>
      </c>
      <c r="E461" s="23">
        <v>49</v>
      </c>
      <c r="F461" s="23">
        <v>1369</v>
      </c>
      <c r="G461" s="23">
        <v>67081</v>
      </c>
      <c r="H461" s="24">
        <v>19602.8858993254</v>
      </c>
      <c r="I461" s="25">
        <f t="shared" si="14"/>
        <v>0.29222709708151934</v>
      </c>
      <c r="J461" s="22" t="str">
        <f t="shared" si="15"/>
        <v>High</v>
      </c>
    </row>
    <row r="462" spans="1:10" ht="15" customHeight="1" x14ac:dyDescent="0.35">
      <c r="A462" s="16">
        <v>45230</v>
      </c>
      <c r="B462" s="17" t="s">
        <v>18</v>
      </c>
      <c r="C462" s="17" t="s">
        <v>27</v>
      </c>
      <c r="D462" s="17" t="s">
        <v>31</v>
      </c>
      <c r="E462" s="18">
        <v>42</v>
      </c>
      <c r="F462" s="18">
        <v>1030</v>
      </c>
      <c r="G462" s="18">
        <v>43260</v>
      </c>
      <c r="H462" s="19">
        <v>7695.7973546957401</v>
      </c>
      <c r="I462" s="20">
        <f t="shared" si="14"/>
        <v>0.17789637898048405</v>
      </c>
      <c r="J462" s="17" t="str">
        <f t="shared" si="15"/>
        <v>Medium</v>
      </c>
    </row>
    <row r="463" spans="1:10" ht="15" customHeight="1" x14ac:dyDescent="0.35">
      <c r="A463" s="21">
        <v>45016</v>
      </c>
      <c r="B463" s="22" t="s">
        <v>18</v>
      </c>
      <c r="C463" s="22" t="s">
        <v>19</v>
      </c>
      <c r="D463" s="22" t="s">
        <v>25</v>
      </c>
      <c r="E463" s="23">
        <v>38</v>
      </c>
      <c r="F463" s="23">
        <v>1851</v>
      </c>
      <c r="G463" s="23">
        <v>70338</v>
      </c>
      <c r="H463" s="24">
        <v>12457.027271077101</v>
      </c>
      <c r="I463" s="25">
        <f t="shared" si="14"/>
        <v>0.17710238094738406</v>
      </c>
      <c r="J463" s="22" t="str">
        <f t="shared" si="15"/>
        <v>High</v>
      </c>
    </row>
    <row r="464" spans="1:10" ht="15" customHeight="1" x14ac:dyDescent="0.35">
      <c r="A464" s="16">
        <v>44957</v>
      </c>
      <c r="B464" s="17" t="s">
        <v>29</v>
      </c>
      <c r="C464" s="17" t="s">
        <v>30</v>
      </c>
      <c r="D464" s="17" t="s">
        <v>21</v>
      </c>
      <c r="E464" s="18">
        <v>18</v>
      </c>
      <c r="F464" s="18">
        <v>1336</v>
      </c>
      <c r="G464" s="18">
        <v>24048</v>
      </c>
      <c r="H464" s="19">
        <v>4041.9258166224699</v>
      </c>
      <c r="I464" s="20">
        <f t="shared" si="14"/>
        <v>0.1680774208509011</v>
      </c>
      <c r="J464" s="17" t="str">
        <f t="shared" si="15"/>
        <v>Medium</v>
      </c>
    </row>
    <row r="465" spans="1:10" ht="15" customHeight="1" x14ac:dyDescent="0.35">
      <c r="A465" s="21">
        <v>45169</v>
      </c>
      <c r="B465" s="22" t="s">
        <v>29</v>
      </c>
      <c r="C465" s="22" t="s">
        <v>28</v>
      </c>
      <c r="D465" s="22" t="s">
        <v>23</v>
      </c>
      <c r="E465" s="23">
        <v>45</v>
      </c>
      <c r="F465" s="23">
        <v>962</v>
      </c>
      <c r="G465" s="23">
        <v>43290</v>
      </c>
      <c r="H465" s="24">
        <v>9016.5070644153893</v>
      </c>
      <c r="I465" s="25">
        <f t="shared" si="14"/>
        <v>0.20828152146951695</v>
      </c>
      <c r="J465" s="22" t="str">
        <f t="shared" si="15"/>
        <v>Medium</v>
      </c>
    </row>
    <row r="466" spans="1:10" ht="15" customHeight="1" x14ac:dyDescent="0.35">
      <c r="A466" s="16">
        <v>45016</v>
      </c>
      <c r="B466" s="17" t="s">
        <v>29</v>
      </c>
      <c r="C466" s="17" t="s">
        <v>28</v>
      </c>
      <c r="D466" s="17" t="s">
        <v>21</v>
      </c>
      <c r="E466" s="18">
        <v>35</v>
      </c>
      <c r="F466" s="18">
        <v>675</v>
      </c>
      <c r="G466" s="18">
        <v>23625</v>
      </c>
      <c r="H466" s="19">
        <v>3090.83532901835</v>
      </c>
      <c r="I466" s="20">
        <f t="shared" si="14"/>
        <v>0.13082900863569735</v>
      </c>
      <c r="J466" s="17" t="str">
        <f t="shared" si="15"/>
        <v>Medium</v>
      </c>
    </row>
    <row r="467" spans="1:10" ht="15" customHeight="1" x14ac:dyDescent="0.35">
      <c r="A467" s="21">
        <v>45291</v>
      </c>
      <c r="B467" s="22" t="s">
        <v>29</v>
      </c>
      <c r="C467" s="22" t="s">
        <v>19</v>
      </c>
      <c r="D467" s="22" t="s">
        <v>25</v>
      </c>
      <c r="E467" s="23">
        <v>30</v>
      </c>
      <c r="F467" s="23">
        <v>962</v>
      </c>
      <c r="G467" s="23">
        <v>28860</v>
      </c>
      <c r="H467" s="24">
        <v>6082.0226934864404</v>
      </c>
      <c r="I467" s="25">
        <f t="shared" si="14"/>
        <v>0.21074229707160222</v>
      </c>
      <c r="J467" s="22" t="str">
        <f t="shared" si="15"/>
        <v>Medium</v>
      </c>
    </row>
    <row r="468" spans="1:10" ht="15" customHeight="1" x14ac:dyDescent="0.35">
      <c r="A468" s="16">
        <v>45230</v>
      </c>
      <c r="B468" s="17" t="s">
        <v>18</v>
      </c>
      <c r="C468" s="17" t="s">
        <v>19</v>
      </c>
      <c r="D468" s="17" t="s">
        <v>21</v>
      </c>
      <c r="E468" s="18">
        <v>24</v>
      </c>
      <c r="F468" s="18">
        <v>1526</v>
      </c>
      <c r="G468" s="18">
        <v>36624</v>
      </c>
      <c r="H468" s="19">
        <v>7630.2794099408002</v>
      </c>
      <c r="I468" s="20">
        <f t="shared" si="14"/>
        <v>0.20834096248200087</v>
      </c>
      <c r="J468" s="17" t="str">
        <f t="shared" si="15"/>
        <v>Medium</v>
      </c>
    </row>
    <row r="469" spans="1:10" ht="15" customHeight="1" x14ac:dyDescent="0.35">
      <c r="A469" s="21">
        <v>45138</v>
      </c>
      <c r="B469" s="22" t="s">
        <v>24</v>
      </c>
      <c r="C469" s="22" t="s">
        <v>27</v>
      </c>
      <c r="D469" s="22" t="s">
        <v>21</v>
      </c>
      <c r="E469" s="23">
        <v>42</v>
      </c>
      <c r="F469" s="23">
        <v>1170</v>
      </c>
      <c r="G469" s="23">
        <v>49140</v>
      </c>
      <c r="H469" s="24">
        <v>12401.9710142807</v>
      </c>
      <c r="I469" s="25">
        <f t="shared" si="14"/>
        <v>0.25238036252097479</v>
      </c>
      <c r="J469" s="22" t="str">
        <f t="shared" si="15"/>
        <v>Medium</v>
      </c>
    </row>
    <row r="470" spans="1:10" ht="15" customHeight="1" x14ac:dyDescent="0.35">
      <c r="A470" s="16">
        <v>45230</v>
      </c>
      <c r="B470" s="17" t="s">
        <v>26</v>
      </c>
      <c r="C470" s="17" t="s">
        <v>22</v>
      </c>
      <c r="D470" s="17" t="s">
        <v>25</v>
      </c>
      <c r="E470" s="18">
        <v>30</v>
      </c>
      <c r="F470" s="18">
        <v>1219</v>
      </c>
      <c r="G470" s="18">
        <v>36570</v>
      </c>
      <c r="H470" s="19">
        <v>9754.3158216115007</v>
      </c>
      <c r="I470" s="20">
        <f t="shared" si="14"/>
        <v>0.2667299923875171</v>
      </c>
      <c r="J470" s="17" t="str">
        <f t="shared" si="15"/>
        <v>Medium</v>
      </c>
    </row>
    <row r="471" spans="1:10" ht="15" customHeight="1" x14ac:dyDescent="0.35">
      <c r="A471" s="21">
        <v>45077</v>
      </c>
      <c r="B471" s="22" t="s">
        <v>18</v>
      </c>
      <c r="C471" s="22" t="s">
        <v>19</v>
      </c>
      <c r="D471" s="22" t="s">
        <v>21</v>
      </c>
      <c r="E471" s="23">
        <v>14</v>
      </c>
      <c r="F471" s="23">
        <v>1341</v>
      </c>
      <c r="G471" s="23">
        <v>18774</v>
      </c>
      <c r="H471" s="24">
        <v>3531.1691821530899</v>
      </c>
      <c r="I471" s="25">
        <f t="shared" si="14"/>
        <v>0.18808827006248482</v>
      </c>
      <c r="J471" s="22" t="str">
        <f t="shared" si="15"/>
        <v>Low</v>
      </c>
    </row>
    <row r="472" spans="1:10" ht="15" customHeight="1" x14ac:dyDescent="0.35">
      <c r="A472" s="16">
        <v>45230</v>
      </c>
      <c r="B472" s="17" t="s">
        <v>26</v>
      </c>
      <c r="C472" s="17" t="s">
        <v>19</v>
      </c>
      <c r="D472" s="17" t="s">
        <v>20</v>
      </c>
      <c r="E472" s="18">
        <v>6</v>
      </c>
      <c r="F472" s="18">
        <v>360</v>
      </c>
      <c r="G472" s="18">
        <v>2160</v>
      </c>
      <c r="H472" s="19">
        <v>346.60796371984497</v>
      </c>
      <c r="I472" s="20">
        <f t="shared" si="14"/>
        <v>0.1604666498702986</v>
      </c>
      <c r="J472" s="17" t="str">
        <f t="shared" si="15"/>
        <v>Low</v>
      </c>
    </row>
    <row r="473" spans="1:10" ht="15" customHeight="1" x14ac:dyDescent="0.35">
      <c r="A473" s="21">
        <v>45077</v>
      </c>
      <c r="B473" s="22" t="s">
        <v>24</v>
      </c>
      <c r="C473" s="22" t="s">
        <v>30</v>
      </c>
      <c r="D473" s="22" t="s">
        <v>20</v>
      </c>
      <c r="E473" s="23">
        <v>3</v>
      </c>
      <c r="F473" s="23">
        <v>600</v>
      </c>
      <c r="G473" s="23">
        <v>1800</v>
      </c>
      <c r="H473" s="24">
        <v>273.36056303415398</v>
      </c>
      <c r="I473" s="25">
        <f t="shared" si="14"/>
        <v>0.15186697946341887</v>
      </c>
      <c r="J473" s="22" t="str">
        <f t="shared" si="15"/>
        <v>Low</v>
      </c>
    </row>
    <row r="474" spans="1:10" ht="15" customHeight="1" x14ac:dyDescent="0.35">
      <c r="A474" s="16">
        <v>45138</v>
      </c>
      <c r="B474" s="17" t="s">
        <v>29</v>
      </c>
      <c r="C474" s="17" t="s">
        <v>28</v>
      </c>
      <c r="D474" s="17" t="s">
        <v>21</v>
      </c>
      <c r="E474" s="18">
        <v>16</v>
      </c>
      <c r="F474" s="18">
        <v>397</v>
      </c>
      <c r="G474" s="18">
        <v>6352</v>
      </c>
      <c r="H474" s="19">
        <v>882.450122149869</v>
      </c>
      <c r="I474" s="20">
        <f t="shared" si="14"/>
        <v>0.13892476734097434</v>
      </c>
      <c r="J474" s="17" t="str">
        <f t="shared" si="15"/>
        <v>Low</v>
      </c>
    </row>
    <row r="475" spans="1:10" ht="15" customHeight="1" x14ac:dyDescent="0.35">
      <c r="A475" s="21">
        <v>45199</v>
      </c>
      <c r="B475" s="22" t="s">
        <v>24</v>
      </c>
      <c r="C475" s="22" t="s">
        <v>22</v>
      </c>
      <c r="D475" s="22" t="s">
        <v>23</v>
      </c>
      <c r="E475" s="23">
        <v>7</v>
      </c>
      <c r="F475" s="23">
        <v>1483</v>
      </c>
      <c r="G475" s="23">
        <v>10381</v>
      </c>
      <c r="H475" s="24">
        <v>1157.7879101616199</v>
      </c>
      <c r="I475" s="25">
        <f t="shared" si="14"/>
        <v>0.11152951643980541</v>
      </c>
      <c r="J475" s="22" t="str">
        <f t="shared" si="15"/>
        <v>Low</v>
      </c>
    </row>
    <row r="476" spans="1:10" ht="15" customHeight="1" x14ac:dyDescent="0.35">
      <c r="A476" s="16">
        <v>45291</v>
      </c>
      <c r="B476" s="17" t="s">
        <v>18</v>
      </c>
      <c r="C476" s="17" t="s">
        <v>30</v>
      </c>
      <c r="D476" s="17" t="s">
        <v>25</v>
      </c>
      <c r="E476" s="18">
        <v>14</v>
      </c>
      <c r="F476" s="18">
        <v>859</v>
      </c>
      <c r="G476" s="18">
        <v>12026</v>
      </c>
      <c r="H476" s="19">
        <v>2026.25587869325</v>
      </c>
      <c r="I476" s="20">
        <f t="shared" si="14"/>
        <v>0.16848959576694245</v>
      </c>
      <c r="J476" s="17" t="str">
        <f t="shared" si="15"/>
        <v>Low</v>
      </c>
    </row>
    <row r="477" spans="1:10" ht="15" customHeight="1" x14ac:dyDescent="0.35">
      <c r="A477" s="21">
        <v>45077</v>
      </c>
      <c r="B477" s="22" t="s">
        <v>29</v>
      </c>
      <c r="C477" s="22" t="s">
        <v>27</v>
      </c>
      <c r="D477" s="22" t="s">
        <v>20</v>
      </c>
      <c r="E477" s="23">
        <v>9</v>
      </c>
      <c r="F477" s="23">
        <v>1975</v>
      </c>
      <c r="G477" s="23">
        <v>17775</v>
      </c>
      <c r="H477" s="24">
        <v>2738.2305455249302</v>
      </c>
      <c r="I477" s="25">
        <f t="shared" si="14"/>
        <v>0.1540495384261564</v>
      </c>
      <c r="J477" s="22" t="str">
        <f t="shared" si="15"/>
        <v>Low</v>
      </c>
    </row>
    <row r="478" spans="1:10" ht="15" customHeight="1" x14ac:dyDescent="0.35">
      <c r="A478" s="16">
        <v>44957</v>
      </c>
      <c r="B478" s="17" t="s">
        <v>18</v>
      </c>
      <c r="C478" s="17" t="s">
        <v>27</v>
      </c>
      <c r="D478" s="17" t="s">
        <v>23</v>
      </c>
      <c r="E478" s="18">
        <v>15</v>
      </c>
      <c r="F478" s="18">
        <v>1270</v>
      </c>
      <c r="G478" s="18">
        <v>19050</v>
      </c>
      <c r="H478" s="19">
        <v>5587.0502401510103</v>
      </c>
      <c r="I478" s="20">
        <f t="shared" si="14"/>
        <v>0.2932834771732814</v>
      </c>
      <c r="J478" s="17" t="str">
        <f t="shared" si="15"/>
        <v>Low</v>
      </c>
    </row>
    <row r="479" spans="1:10" ht="15" customHeight="1" x14ac:dyDescent="0.35">
      <c r="A479" s="21">
        <v>45230</v>
      </c>
      <c r="B479" s="22" t="s">
        <v>29</v>
      </c>
      <c r="C479" s="22" t="s">
        <v>19</v>
      </c>
      <c r="D479" s="22" t="s">
        <v>21</v>
      </c>
      <c r="E479" s="23">
        <v>21</v>
      </c>
      <c r="F479" s="23">
        <v>598</v>
      </c>
      <c r="G479" s="23">
        <v>12558</v>
      </c>
      <c r="H479" s="24">
        <v>2656.54148800961</v>
      </c>
      <c r="I479" s="25">
        <f t="shared" si="14"/>
        <v>0.21154176525000876</v>
      </c>
      <c r="J479" s="22" t="str">
        <f t="shared" si="15"/>
        <v>Low</v>
      </c>
    </row>
    <row r="480" spans="1:10" ht="15" customHeight="1" x14ac:dyDescent="0.35">
      <c r="A480" s="16">
        <v>45230</v>
      </c>
      <c r="B480" s="17" t="s">
        <v>26</v>
      </c>
      <c r="C480" s="17" t="s">
        <v>19</v>
      </c>
      <c r="D480" s="17" t="s">
        <v>23</v>
      </c>
      <c r="E480" s="18">
        <v>35</v>
      </c>
      <c r="F480" s="18">
        <v>1933</v>
      </c>
      <c r="G480" s="18">
        <v>67655</v>
      </c>
      <c r="H480" s="19">
        <v>11464.5056151218</v>
      </c>
      <c r="I480" s="20">
        <f t="shared" si="14"/>
        <v>0.16945540780610155</v>
      </c>
      <c r="J480" s="17" t="str">
        <f t="shared" si="15"/>
        <v>High</v>
      </c>
    </row>
    <row r="481" spans="1:10" ht="15" customHeight="1" x14ac:dyDescent="0.35">
      <c r="A481" s="21">
        <v>44957</v>
      </c>
      <c r="B481" s="22" t="s">
        <v>26</v>
      </c>
      <c r="C481" s="22" t="s">
        <v>27</v>
      </c>
      <c r="D481" s="22" t="s">
        <v>31</v>
      </c>
      <c r="E481" s="23">
        <v>2</v>
      </c>
      <c r="F481" s="23">
        <v>1782</v>
      </c>
      <c r="G481" s="23">
        <v>3564</v>
      </c>
      <c r="H481" s="24">
        <v>770.15730598830703</v>
      </c>
      <c r="I481" s="25">
        <f t="shared" si="14"/>
        <v>0.21609352019873934</v>
      </c>
      <c r="J481" s="22" t="str">
        <f t="shared" si="15"/>
        <v>Low</v>
      </c>
    </row>
    <row r="482" spans="1:10" ht="15" customHeight="1" x14ac:dyDescent="0.35">
      <c r="A482" s="16">
        <v>44985</v>
      </c>
      <c r="B482" s="17" t="s">
        <v>26</v>
      </c>
      <c r="C482" s="17" t="s">
        <v>19</v>
      </c>
      <c r="D482" s="17" t="s">
        <v>20</v>
      </c>
      <c r="E482" s="18">
        <v>27</v>
      </c>
      <c r="F482" s="18">
        <v>277</v>
      </c>
      <c r="G482" s="18">
        <v>7479</v>
      </c>
      <c r="H482" s="19">
        <v>956.11042587289103</v>
      </c>
      <c r="I482" s="20">
        <f t="shared" si="14"/>
        <v>0.12783934026913907</v>
      </c>
      <c r="J482" s="17" t="str">
        <f t="shared" si="15"/>
        <v>Low</v>
      </c>
    </row>
    <row r="483" spans="1:10" ht="15" customHeight="1" x14ac:dyDescent="0.35">
      <c r="A483" s="21">
        <v>45107</v>
      </c>
      <c r="B483" s="22" t="s">
        <v>24</v>
      </c>
      <c r="C483" s="22" t="s">
        <v>22</v>
      </c>
      <c r="D483" s="22" t="s">
        <v>21</v>
      </c>
      <c r="E483" s="23">
        <v>2</v>
      </c>
      <c r="F483" s="23">
        <v>323</v>
      </c>
      <c r="G483" s="23">
        <v>646</v>
      </c>
      <c r="H483" s="24">
        <v>121.970452396925</v>
      </c>
      <c r="I483" s="25">
        <f t="shared" si="14"/>
        <v>0.18880874984044116</v>
      </c>
      <c r="J483" s="22" t="str">
        <f t="shared" si="15"/>
        <v>Low</v>
      </c>
    </row>
    <row r="484" spans="1:10" ht="15" customHeight="1" x14ac:dyDescent="0.35">
      <c r="A484" s="16">
        <v>45199</v>
      </c>
      <c r="B484" s="17" t="s">
        <v>18</v>
      </c>
      <c r="C484" s="17" t="s">
        <v>19</v>
      </c>
      <c r="D484" s="17" t="s">
        <v>25</v>
      </c>
      <c r="E484" s="18">
        <v>35</v>
      </c>
      <c r="F484" s="18">
        <v>274</v>
      </c>
      <c r="G484" s="18">
        <v>9590</v>
      </c>
      <c r="H484" s="19">
        <v>2160.1174284856002</v>
      </c>
      <c r="I484" s="20">
        <f t="shared" si="14"/>
        <v>0.22524686428421273</v>
      </c>
      <c r="J484" s="17" t="str">
        <f t="shared" si="15"/>
        <v>Low</v>
      </c>
    </row>
    <row r="485" spans="1:10" ht="15" customHeight="1" x14ac:dyDescent="0.35">
      <c r="A485" s="21">
        <v>45169</v>
      </c>
      <c r="B485" s="22" t="s">
        <v>24</v>
      </c>
      <c r="C485" s="22" t="s">
        <v>28</v>
      </c>
      <c r="D485" s="22" t="s">
        <v>21</v>
      </c>
      <c r="E485" s="23">
        <v>18</v>
      </c>
      <c r="F485" s="23">
        <v>336</v>
      </c>
      <c r="G485" s="23">
        <v>6048</v>
      </c>
      <c r="H485" s="24">
        <v>1196.1708173361501</v>
      </c>
      <c r="I485" s="25">
        <f t="shared" si="14"/>
        <v>0.19777956635849042</v>
      </c>
      <c r="J485" s="22" t="str">
        <f t="shared" si="15"/>
        <v>Low</v>
      </c>
    </row>
    <row r="486" spans="1:10" ht="15" customHeight="1" x14ac:dyDescent="0.35">
      <c r="A486" s="16">
        <v>45077</v>
      </c>
      <c r="B486" s="17" t="s">
        <v>26</v>
      </c>
      <c r="C486" s="17" t="s">
        <v>19</v>
      </c>
      <c r="D486" s="17" t="s">
        <v>25</v>
      </c>
      <c r="E486" s="18">
        <v>14</v>
      </c>
      <c r="F486" s="18">
        <v>801</v>
      </c>
      <c r="G486" s="18">
        <v>11214</v>
      </c>
      <c r="H486" s="19">
        <v>2022.5094941075199</v>
      </c>
      <c r="I486" s="20">
        <f t="shared" si="14"/>
        <v>0.18035576013086499</v>
      </c>
      <c r="J486" s="17" t="str">
        <f t="shared" si="15"/>
        <v>Low</v>
      </c>
    </row>
    <row r="487" spans="1:10" ht="15" customHeight="1" x14ac:dyDescent="0.35">
      <c r="A487" s="21">
        <v>44957</v>
      </c>
      <c r="B487" s="22" t="s">
        <v>18</v>
      </c>
      <c r="C487" s="22" t="s">
        <v>30</v>
      </c>
      <c r="D487" s="22" t="s">
        <v>21</v>
      </c>
      <c r="E487" s="23">
        <v>20</v>
      </c>
      <c r="F487" s="23">
        <v>1623</v>
      </c>
      <c r="G487" s="23">
        <v>32460</v>
      </c>
      <c r="H487" s="24">
        <v>9698.0637407368395</v>
      </c>
      <c r="I487" s="25">
        <f t="shared" si="14"/>
        <v>0.29876967777993962</v>
      </c>
      <c r="J487" s="22" t="str">
        <f t="shared" si="15"/>
        <v>Medium</v>
      </c>
    </row>
    <row r="488" spans="1:10" ht="15" customHeight="1" x14ac:dyDescent="0.35">
      <c r="A488" s="16">
        <v>45138</v>
      </c>
      <c r="B488" s="17" t="s">
        <v>26</v>
      </c>
      <c r="C488" s="17" t="s">
        <v>22</v>
      </c>
      <c r="D488" s="17" t="s">
        <v>23</v>
      </c>
      <c r="E488" s="18">
        <v>18</v>
      </c>
      <c r="F488" s="18">
        <v>1036</v>
      </c>
      <c r="G488" s="18">
        <v>18648</v>
      </c>
      <c r="H488" s="19">
        <v>5148.0219369106399</v>
      </c>
      <c r="I488" s="20">
        <f t="shared" si="14"/>
        <v>0.27606295242978551</v>
      </c>
      <c r="J488" s="17" t="str">
        <f t="shared" si="15"/>
        <v>Low</v>
      </c>
    </row>
    <row r="489" spans="1:10" ht="15" customHeight="1" x14ac:dyDescent="0.35">
      <c r="A489" s="21">
        <v>45077</v>
      </c>
      <c r="B489" s="22" t="s">
        <v>24</v>
      </c>
      <c r="C489" s="22" t="s">
        <v>30</v>
      </c>
      <c r="D489" s="22" t="s">
        <v>23</v>
      </c>
      <c r="E489" s="23">
        <v>10</v>
      </c>
      <c r="F489" s="23">
        <v>1728</v>
      </c>
      <c r="G489" s="23">
        <v>17280</v>
      </c>
      <c r="H489" s="24">
        <v>3882.49099139903</v>
      </c>
      <c r="I489" s="25">
        <f t="shared" si="14"/>
        <v>0.22468119163188832</v>
      </c>
      <c r="J489" s="22" t="str">
        <f t="shared" si="15"/>
        <v>Low</v>
      </c>
    </row>
    <row r="490" spans="1:10" ht="15" customHeight="1" x14ac:dyDescent="0.35">
      <c r="A490" s="16">
        <v>45107</v>
      </c>
      <c r="B490" s="17" t="s">
        <v>24</v>
      </c>
      <c r="C490" s="17" t="s">
        <v>30</v>
      </c>
      <c r="D490" s="17" t="s">
        <v>23</v>
      </c>
      <c r="E490" s="18">
        <v>25</v>
      </c>
      <c r="F490" s="18">
        <v>699</v>
      </c>
      <c r="G490" s="18">
        <v>17475</v>
      </c>
      <c r="H490" s="19">
        <v>3737.4738773320801</v>
      </c>
      <c r="I490" s="20">
        <f t="shared" si="14"/>
        <v>0.21387547223645664</v>
      </c>
      <c r="J490" s="17" t="str">
        <f t="shared" si="15"/>
        <v>Low</v>
      </c>
    </row>
    <row r="491" spans="1:10" ht="15" customHeight="1" x14ac:dyDescent="0.35">
      <c r="A491" s="21">
        <v>45138</v>
      </c>
      <c r="B491" s="22" t="s">
        <v>24</v>
      </c>
      <c r="C491" s="22" t="s">
        <v>28</v>
      </c>
      <c r="D491" s="22" t="s">
        <v>31</v>
      </c>
      <c r="E491" s="23">
        <v>2</v>
      </c>
      <c r="F491" s="23">
        <v>1796</v>
      </c>
      <c r="G491" s="23">
        <v>3592</v>
      </c>
      <c r="H491" s="24">
        <v>805.08248870598095</v>
      </c>
      <c r="I491" s="25">
        <f t="shared" si="14"/>
        <v>0.22413209596491673</v>
      </c>
      <c r="J491" s="22" t="str">
        <f t="shared" si="15"/>
        <v>Low</v>
      </c>
    </row>
    <row r="492" spans="1:10" ht="15" customHeight="1" x14ac:dyDescent="0.35">
      <c r="A492" s="16">
        <v>45016</v>
      </c>
      <c r="B492" s="17" t="s">
        <v>26</v>
      </c>
      <c r="C492" s="17" t="s">
        <v>22</v>
      </c>
      <c r="D492" s="17" t="s">
        <v>25</v>
      </c>
      <c r="E492" s="18">
        <v>25</v>
      </c>
      <c r="F492" s="18">
        <v>337</v>
      </c>
      <c r="G492" s="18">
        <v>8425</v>
      </c>
      <c r="H492" s="19">
        <v>1181.7109016807999</v>
      </c>
      <c r="I492" s="20">
        <f t="shared" si="14"/>
        <v>0.14026242156448662</v>
      </c>
      <c r="J492" s="17" t="str">
        <f t="shared" si="15"/>
        <v>Low</v>
      </c>
    </row>
    <row r="493" spans="1:10" ht="15" customHeight="1" x14ac:dyDescent="0.35">
      <c r="A493" s="21">
        <v>45291</v>
      </c>
      <c r="B493" s="22" t="s">
        <v>18</v>
      </c>
      <c r="C493" s="22" t="s">
        <v>22</v>
      </c>
      <c r="D493" s="22" t="s">
        <v>23</v>
      </c>
      <c r="E493" s="23">
        <v>33</v>
      </c>
      <c r="F493" s="23">
        <v>249</v>
      </c>
      <c r="G493" s="23">
        <v>8217</v>
      </c>
      <c r="H493" s="24">
        <v>1471.0693672805801</v>
      </c>
      <c r="I493" s="25">
        <f t="shared" si="14"/>
        <v>0.17902754865286358</v>
      </c>
      <c r="J493" s="22" t="str">
        <f t="shared" si="15"/>
        <v>Low</v>
      </c>
    </row>
    <row r="494" spans="1:10" ht="15" customHeight="1" x14ac:dyDescent="0.35">
      <c r="A494" s="16">
        <v>45230</v>
      </c>
      <c r="B494" s="17" t="s">
        <v>18</v>
      </c>
      <c r="C494" s="17" t="s">
        <v>22</v>
      </c>
      <c r="D494" s="17" t="s">
        <v>31</v>
      </c>
      <c r="E494" s="18">
        <v>36</v>
      </c>
      <c r="F494" s="18">
        <v>1994</v>
      </c>
      <c r="G494" s="18">
        <v>71784</v>
      </c>
      <c r="H494" s="19">
        <v>7744.9126218080601</v>
      </c>
      <c r="I494" s="20">
        <f t="shared" si="14"/>
        <v>0.10789190657817982</v>
      </c>
      <c r="J494" s="17" t="str">
        <f t="shared" si="15"/>
        <v>High</v>
      </c>
    </row>
    <row r="495" spans="1:10" ht="15" customHeight="1" x14ac:dyDescent="0.35">
      <c r="A495" s="21">
        <v>45016</v>
      </c>
      <c r="B495" s="22" t="s">
        <v>26</v>
      </c>
      <c r="C495" s="22" t="s">
        <v>22</v>
      </c>
      <c r="D495" s="22" t="s">
        <v>25</v>
      </c>
      <c r="E495" s="23">
        <v>31</v>
      </c>
      <c r="F495" s="23">
        <v>1172</v>
      </c>
      <c r="G495" s="23">
        <v>36332</v>
      </c>
      <c r="H495" s="24">
        <v>7088.7077267942796</v>
      </c>
      <c r="I495" s="25">
        <f t="shared" si="14"/>
        <v>0.19510920749736541</v>
      </c>
      <c r="J495" s="22" t="str">
        <f t="shared" si="15"/>
        <v>Medium</v>
      </c>
    </row>
    <row r="496" spans="1:10" ht="15" customHeight="1" x14ac:dyDescent="0.35">
      <c r="A496" s="16">
        <v>45077</v>
      </c>
      <c r="B496" s="17" t="s">
        <v>18</v>
      </c>
      <c r="C496" s="17" t="s">
        <v>22</v>
      </c>
      <c r="D496" s="17" t="s">
        <v>21</v>
      </c>
      <c r="E496" s="18">
        <v>14</v>
      </c>
      <c r="F496" s="18">
        <v>1842</v>
      </c>
      <c r="G496" s="18">
        <v>25788</v>
      </c>
      <c r="H496" s="19">
        <v>5379.5035942200402</v>
      </c>
      <c r="I496" s="20">
        <f t="shared" si="14"/>
        <v>0.20860491679153251</v>
      </c>
      <c r="J496" s="17" t="str">
        <f t="shared" si="15"/>
        <v>Medium</v>
      </c>
    </row>
    <row r="497" spans="1:10" ht="15" customHeight="1" x14ac:dyDescent="0.35">
      <c r="A497" s="21">
        <v>45107</v>
      </c>
      <c r="B497" s="22" t="s">
        <v>26</v>
      </c>
      <c r="C497" s="22" t="s">
        <v>28</v>
      </c>
      <c r="D497" s="22" t="s">
        <v>31</v>
      </c>
      <c r="E497" s="23">
        <v>1</v>
      </c>
      <c r="F497" s="23">
        <v>1848</v>
      </c>
      <c r="G497" s="23">
        <v>1848</v>
      </c>
      <c r="H497" s="24">
        <v>268.97630246374598</v>
      </c>
      <c r="I497" s="25">
        <f t="shared" si="14"/>
        <v>0.14554994722064177</v>
      </c>
      <c r="J497" s="22" t="str">
        <f t="shared" si="15"/>
        <v>Low</v>
      </c>
    </row>
    <row r="498" spans="1:10" ht="15" customHeight="1" x14ac:dyDescent="0.35">
      <c r="A498" s="16">
        <v>45199</v>
      </c>
      <c r="B498" s="17" t="s">
        <v>18</v>
      </c>
      <c r="C498" s="17" t="s">
        <v>19</v>
      </c>
      <c r="D498" s="17" t="s">
        <v>20</v>
      </c>
      <c r="E498" s="18">
        <v>46</v>
      </c>
      <c r="F498" s="18">
        <v>453</v>
      </c>
      <c r="G498" s="18">
        <v>20838</v>
      </c>
      <c r="H498" s="19">
        <v>6101.4866234470001</v>
      </c>
      <c r="I498" s="20">
        <f t="shared" si="14"/>
        <v>0.29280576943310299</v>
      </c>
      <c r="J498" s="17" t="str">
        <f t="shared" si="15"/>
        <v>Medium</v>
      </c>
    </row>
    <row r="499" spans="1:10" ht="15" customHeight="1" x14ac:dyDescent="0.35">
      <c r="A499" s="21">
        <v>45291</v>
      </c>
      <c r="B499" s="22" t="s">
        <v>29</v>
      </c>
      <c r="C499" s="22" t="s">
        <v>30</v>
      </c>
      <c r="D499" s="22" t="s">
        <v>31</v>
      </c>
      <c r="E499" s="23">
        <v>16</v>
      </c>
      <c r="F499" s="23">
        <v>1853</v>
      </c>
      <c r="G499" s="23">
        <v>29648</v>
      </c>
      <c r="H499" s="24">
        <v>8357.5020610134707</v>
      </c>
      <c r="I499" s="25">
        <f t="shared" si="14"/>
        <v>0.28189092218744843</v>
      </c>
      <c r="J499" s="22" t="str">
        <f t="shared" si="15"/>
        <v>Medium</v>
      </c>
    </row>
    <row r="500" spans="1:10" ht="15" customHeight="1" x14ac:dyDescent="0.35">
      <c r="A500" s="16">
        <v>45077</v>
      </c>
      <c r="B500" s="17" t="s">
        <v>29</v>
      </c>
      <c r="C500" s="17" t="s">
        <v>22</v>
      </c>
      <c r="D500" s="17" t="s">
        <v>31</v>
      </c>
      <c r="E500" s="18">
        <v>46</v>
      </c>
      <c r="F500" s="18">
        <v>909</v>
      </c>
      <c r="G500" s="18">
        <v>41814</v>
      </c>
      <c r="H500" s="19">
        <v>10220.5394494707</v>
      </c>
      <c r="I500" s="20">
        <f t="shared" si="14"/>
        <v>0.24442864709118237</v>
      </c>
      <c r="J500" s="17" t="str">
        <f t="shared" si="15"/>
        <v>Medium</v>
      </c>
    </row>
    <row r="501" spans="1:10" ht="15" customHeight="1" x14ac:dyDescent="0.35">
      <c r="A501" s="21">
        <v>44957</v>
      </c>
      <c r="B501" s="22" t="s">
        <v>24</v>
      </c>
      <c r="C501" s="22" t="s">
        <v>19</v>
      </c>
      <c r="D501" s="22" t="s">
        <v>25</v>
      </c>
      <c r="E501" s="23">
        <v>3</v>
      </c>
      <c r="F501" s="23">
        <v>762</v>
      </c>
      <c r="G501" s="23">
        <v>2286</v>
      </c>
      <c r="H501" s="24">
        <v>472.46436667152398</v>
      </c>
      <c r="I501" s="25">
        <f t="shared" si="14"/>
        <v>0.2066773257530726</v>
      </c>
      <c r="J501" s="22" t="str">
        <f t="shared" si="15"/>
        <v>Low</v>
      </c>
    </row>
  </sheetData>
  <autoFilter ref="A1:J501" xr:uid="{00000000-0009-0000-0000-000001000000}"/>
  <conditionalFormatting sqref="G2:G501">
    <cfRule type="colorScale" priority="2">
      <colorScale>
        <cfvo type="min"/>
        <cfvo type="percentile" val="50"/>
        <cfvo type="max"/>
        <color rgb="FFFCE4EC"/>
        <color rgb="FFFFF9C4"/>
        <color rgb="FF1B5E20"/>
      </colorScale>
    </cfRule>
  </conditionalFormatting>
  <conditionalFormatting sqref="I2:I501">
    <cfRule type="dataBar" priority="3">
      <dataBar>
        <cfvo type="min"/>
        <cfvo type="max"/>
        <color rgb="FF4F80E1"/>
      </dataBar>
      <extLst>
        <ext xmlns:x14="http://schemas.microsoft.com/office/spreadsheetml/2009/9/main" uri="{B025F937-C7B1-47D3-B67F-A62EFF666E3E}">
          <x14:id>{49664954-8768-4089-B31F-15A5E05719D0}</x14:id>
        </ext>
      </extLst>
    </cfRule>
  </conditionalFormatting>
  <conditionalFormatting sqref="J2:J501">
    <cfRule type="cellIs" dxfId="1" priority="4" operator="equal">
      <formula>"High"</formula>
    </cfRule>
    <cfRule type="cellIs" dxfId="0" priority="5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664954-8768-4089-B31F-15A5E05719D0}">
            <x14:dataBar axisPosition="none">
              <x14:cfvo type="min"/>
              <x14:cfvo type="max"/>
              <x14:negativeFillColor rgb="FF4F80E1"/>
            </x14:dataBar>
          </x14:cfRule>
          <xm:sqref>I2:I501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0E1"/>
  </sheetPr>
  <dimension ref="A1:B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8" customWidth="1"/>
  </cols>
  <sheetData>
    <row r="1" spans="1:2" ht="21.75" customHeight="1" x14ac:dyDescent="0.35">
      <c r="A1" s="26" t="s">
        <v>9</v>
      </c>
      <c r="B1" s="26" t="s">
        <v>14</v>
      </c>
    </row>
    <row r="2" spans="1:2" ht="21.75" customHeight="1" x14ac:dyDescent="0.35">
      <c r="A2" s="27" t="s">
        <v>26</v>
      </c>
      <c r="B2" s="28">
        <v>3796463</v>
      </c>
    </row>
    <row r="3" spans="1:2" ht="21.75" customHeight="1" x14ac:dyDescent="0.35">
      <c r="A3" s="29" t="s">
        <v>18</v>
      </c>
      <c r="B3" s="30">
        <v>3101447</v>
      </c>
    </row>
    <row r="4" spans="1:2" ht="21.75" customHeight="1" x14ac:dyDescent="0.35">
      <c r="A4" s="31" t="s">
        <v>24</v>
      </c>
      <c r="B4" s="28">
        <v>2946136</v>
      </c>
    </row>
    <row r="5" spans="1:2" ht="21.75" customHeight="1" x14ac:dyDescent="0.35">
      <c r="A5" s="32" t="s">
        <v>29</v>
      </c>
      <c r="B5" s="30">
        <v>2794283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8181"/>
  </sheetPr>
  <dimension ref="A1:S59"/>
  <sheetViews>
    <sheetView showGridLines="0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sqref="A1:M1"/>
    </sheetView>
  </sheetViews>
  <sheetFormatPr defaultColWidth="8.6328125" defaultRowHeight="14.5" x14ac:dyDescent="0.35"/>
  <cols>
    <col min="1" max="1" width="20" customWidth="1"/>
    <col min="2" max="6" width="15" customWidth="1"/>
  </cols>
  <sheetData>
    <row r="1" spans="1:19" ht="27.75" customHeight="1" x14ac:dyDescent="0.35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3"/>
      <c r="O1" s="33"/>
      <c r="P1" s="33"/>
      <c r="Q1" s="33"/>
      <c r="R1" s="33"/>
      <c r="S1" s="33"/>
    </row>
    <row r="2" spans="1:19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9.5" customHeight="1" x14ac:dyDescent="0.35">
      <c r="A3" s="2" t="s">
        <v>33</v>
      </c>
      <c r="B3" s="2"/>
      <c r="C3" s="2"/>
      <c r="D3" s="2"/>
      <c r="E3" s="2"/>
      <c r="F3" s="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x14ac:dyDescent="0.35">
      <c r="A4" s="34" t="s">
        <v>11</v>
      </c>
      <c r="B4" s="34" t="s">
        <v>34</v>
      </c>
      <c r="C4" s="34" t="s">
        <v>35</v>
      </c>
      <c r="D4" s="34" t="s">
        <v>36</v>
      </c>
      <c r="E4" s="34" t="s">
        <v>37</v>
      </c>
      <c r="F4" s="34" t="s">
        <v>38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x14ac:dyDescent="0.35">
      <c r="A5" s="22" t="s">
        <v>31</v>
      </c>
      <c r="B5" s="23">
        <f>SUMIF('Raw Data'!D:D,A5,'Raw Data'!G:G)</f>
        <v>2411532</v>
      </c>
      <c r="C5" s="22">
        <f>COUNTIF('Raw Data'!D:D,A5)</f>
        <v>97</v>
      </c>
      <c r="D5" s="23">
        <f>AVERAGEIF('Raw Data'!D:D,A5,'Raw Data'!G:G)</f>
        <v>24861.154639175256</v>
      </c>
      <c r="E5" s="23">
        <f>SUMIF('Raw Data'!D:D,A5,'Raw Data'!H:H)</f>
        <v>491239.38412331161</v>
      </c>
      <c r="F5" s="25">
        <f>AVERAGEIF('Raw Data'!D:D,A5,'Raw Data'!I:I)</f>
        <v>0.19904400811763015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35">
      <c r="A6" s="17" t="s">
        <v>21</v>
      </c>
      <c r="B6" s="18">
        <f>SUMIF('Raw Data'!D:D,A6,'Raw Data'!G:G)</f>
        <v>2338784</v>
      </c>
      <c r="C6" s="17">
        <f>COUNTIF('Raw Data'!D:D,A6)</f>
        <v>104</v>
      </c>
      <c r="D6" s="18">
        <f>AVERAGEIF('Raw Data'!D:D,A6,'Raw Data'!G:G)</f>
        <v>22488.307692307691</v>
      </c>
      <c r="E6" s="18">
        <f>SUMIF('Raw Data'!D:D,A6,'Raw Data'!H:H)</f>
        <v>464313.27426729962</v>
      </c>
      <c r="F6" s="20">
        <f>AVERAGEIF('Raw Data'!D:D,A6,'Raw Data'!I:I)</f>
        <v>0.19604599758672109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 x14ac:dyDescent="0.35">
      <c r="A7" s="22" t="s">
        <v>20</v>
      </c>
      <c r="B7" s="23">
        <f>SUMIF('Raw Data'!D:D,A7,'Raw Data'!G:G)</f>
        <v>2752939</v>
      </c>
      <c r="C7" s="22">
        <f>COUNTIF('Raw Data'!D:D,A7)</f>
        <v>98</v>
      </c>
      <c r="D7" s="23">
        <f>AVERAGEIF('Raw Data'!D:D,A7,'Raw Data'!G:G)</f>
        <v>28091.214285714286</v>
      </c>
      <c r="E7" s="23">
        <f>SUMIF('Raw Data'!D:D,A7,'Raw Data'!H:H)</f>
        <v>578936.09148399124</v>
      </c>
      <c r="F7" s="25">
        <f>AVERAGEIF('Raw Data'!D:D,A7,'Raw Data'!I:I)</f>
        <v>0.21096976587628083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 x14ac:dyDescent="0.35">
      <c r="A8" s="17" t="s">
        <v>25</v>
      </c>
      <c r="B8" s="18">
        <f>SUMIF('Raw Data'!D:D,A8,'Raw Data'!G:G)</f>
        <v>2387041</v>
      </c>
      <c r="C8" s="17">
        <f>COUNTIF('Raw Data'!D:D,A8)</f>
        <v>99</v>
      </c>
      <c r="D8" s="18">
        <f>AVERAGEIF('Raw Data'!D:D,A8,'Raw Data'!G:G)</f>
        <v>24111.525252525251</v>
      </c>
      <c r="E8" s="18">
        <f>SUMIF('Raw Data'!D:D,A8,'Raw Data'!H:H)</f>
        <v>471207.41019991896</v>
      </c>
      <c r="F8" s="20">
        <f>AVERAGEIF('Raw Data'!D:D,A8,'Raw Data'!I:I)</f>
        <v>0.20121854541287207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x14ac:dyDescent="0.35">
      <c r="A9" s="22" t="s">
        <v>23</v>
      </c>
      <c r="B9" s="23">
        <f>SUMIF('Raw Data'!D:D,A9,'Raw Data'!G:G)</f>
        <v>2748033</v>
      </c>
      <c r="C9" s="22">
        <f>COUNTIF('Raw Data'!D:D,A9)</f>
        <v>102</v>
      </c>
      <c r="D9" s="23">
        <f>AVERAGEIF('Raw Data'!D:D,A9,'Raw Data'!G:G)</f>
        <v>26941.5</v>
      </c>
      <c r="E9" s="23">
        <f>SUMIF('Raw Data'!D:D,A9,'Raw Data'!H:H)</f>
        <v>544984.12294391962</v>
      </c>
      <c r="F9" s="25">
        <f>AVERAGEIF('Raw Data'!D:D,A9,'Raw Data'!I:I)</f>
        <v>0.18941705073867007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35">
      <c r="A10" s="34" t="s">
        <v>39</v>
      </c>
      <c r="B10" s="35">
        <f>SUM(B5:B9)</f>
        <v>12638329</v>
      </c>
      <c r="C10" s="34">
        <f>SUM(C5:C9)</f>
        <v>500</v>
      </c>
      <c r="D10" s="35">
        <f>AVERAGE(D5:D9)</f>
        <v>25298.740373944496</v>
      </c>
      <c r="E10" s="35">
        <f>SUM(E5:E9)</f>
        <v>2550680.2830184409</v>
      </c>
      <c r="F10" s="36">
        <f>AVERAGE(F5:F9)</f>
        <v>0.19933907354643485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x14ac:dyDescent="0.3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ht="19.5" customHeight="1" x14ac:dyDescent="0.35">
      <c r="A13" s="1" t="s">
        <v>40</v>
      </c>
      <c r="B13" s="1"/>
      <c r="C13" s="1"/>
      <c r="D13" s="1"/>
      <c r="E13" s="1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 x14ac:dyDescent="0.35">
      <c r="A14" s="37" t="s">
        <v>41</v>
      </c>
      <c r="B14" s="34" t="s">
        <v>29</v>
      </c>
      <c r="C14" s="34" t="s">
        <v>26</v>
      </c>
      <c r="D14" s="34" t="s">
        <v>18</v>
      </c>
      <c r="E14" s="34" t="s">
        <v>24</v>
      </c>
      <c r="F14" s="34" t="s">
        <v>42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x14ac:dyDescent="0.35">
      <c r="A15" s="38" t="s">
        <v>27</v>
      </c>
      <c r="B15" s="18">
        <f>SUMIFS('Raw Data'!G:G,'Raw Data'!C:C,A15,'Raw Data'!B:B,B14)</f>
        <v>617820</v>
      </c>
      <c r="C15" s="18">
        <f>SUMIFS('Raw Data'!G:G,'Raw Data'!C:C,A15,'Raw Data'!B:B,C14)</f>
        <v>568935</v>
      </c>
      <c r="D15" s="18">
        <f>SUMIFS('Raw Data'!G:G,'Raw Data'!C:C,A15,'Raw Data'!B:B,D14)</f>
        <v>390522</v>
      </c>
      <c r="E15" s="18">
        <f>SUMIFS('Raw Data'!G:G,'Raw Data'!C:C,A15,'Raw Data'!B:B,E14)</f>
        <v>511151</v>
      </c>
      <c r="F15" s="39">
        <f>SUM(B15:E15)</f>
        <v>2088428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x14ac:dyDescent="0.35">
      <c r="A16" s="40" t="s">
        <v>22</v>
      </c>
      <c r="B16" s="23">
        <f>SUMIFS('Raw Data'!G:G,'Raw Data'!C:C,A16,'Raw Data'!B:B,B14)</f>
        <v>431156</v>
      </c>
      <c r="C16" s="23">
        <f>SUMIFS('Raw Data'!G:G,'Raw Data'!C:C,A16,'Raw Data'!B:B,C14)</f>
        <v>917306</v>
      </c>
      <c r="D16" s="23">
        <f>SUMIFS('Raw Data'!G:G,'Raw Data'!C:C,A16,'Raw Data'!B:B,D14)</f>
        <v>759151</v>
      </c>
      <c r="E16" s="23">
        <f>SUMIFS('Raw Data'!G:G,'Raw Data'!C:C,A16,'Raw Data'!B:B,E14)</f>
        <v>849229</v>
      </c>
      <c r="F16" s="39">
        <f>SUM(B16:E16)</f>
        <v>2956842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x14ac:dyDescent="0.35">
      <c r="A17" s="38" t="s">
        <v>30</v>
      </c>
      <c r="B17" s="18">
        <f>SUMIFS('Raw Data'!G:G,'Raw Data'!C:C,A17,'Raw Data'!B:B,B14)</f>
        <v>649691</v>
      </c>
      <c r="C17" s="18">
        <f>SUMIFS('Raw Data'!G:G,'Raw Data'!C:C,A17,'Raw Data'!B:B,C14)</f>
        <v>639494</v>
      </c>
      <c r="D17" s="18">
        <f>SUMIFS('Raw Data'!G:G,'Raw Data'!C:C,A17,'Raw Data'!B:B,D14)</f>
        <v>441002</v>
      </c>
      <c r="E17" s="18">
        <f>SUMIFS('Raw Data'!G:G,'Raw Data'!C:C,A17,'Raw Data'!B:B,E14)</f>
        <v>612853</v>
      </c>
      <c r="F17" s="39">
        <f>SUM(B17:E17)</f>
        <v>2343040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x14ac:dyDescent="0.35">
      <c r="A18" s="40" t="s">
        <v>28</v>
      </c>
      <c r="B18" s="23">
        <f>SUMIFS('Raw Data'!G:G,'Raw Data'!C:C,A18,'Raw Data'!B:B,B14)</f>
        <v>592071</v>
      </c>
      <c r="C18" s="23">
        <f>SUMIFS('Raw Data'!G:G,'Raw Data'!C:C,A18,'Raw Data'!B:B,C14)</f>
        <v>818584</v>
      </c>
      <c r="D18" s="23">
        <f>SUMIFS('Raw Data'!G:G,'Raw Data'!C:C,A18,'Raw Data'!B:B,D14)</f>
        <v>428141</v>
      </c>
      <c r="E18" s="23">
        <f>SUMIFS('Raw Data'!G:G,'Raw Data'!C:C,A18,'Raw Data'!B:B,E14)</f>
        <v>538137</v>
      </c>
      <c r="F18" s="39">
        <f>SUM(B18:E18)</f>
        <v>2376933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x14ac:dyDescent="0.35">
      <c r="A19" s="38" t="s">
        <v>19</v>
      </c>
      <c r="B19" s="18">
        <f>SUMIFS('Raw Data'!G:G,'Raw Data'!C:C,A19,'Raw Data'!B:B,B14)</f>
        <v>503545</v>
      </c>
      <c r="C19" s="18">
        <f>SUMIFS('Raw Data'!G:G,'Raw Data'!C:C,A19,'Raw Data'!B:B,C14)</f>
        <v>852144</v>
      </c>
      <c r="D19" s="18">
        <f>SUMIFS('Raw Data'!G:G,'Raw Data'!C:C,A19,'Raw Data'!B:B,D14)</f>
        <v>1082631</v>
      </c>
      <c r="E19" s="18">
        <f>SUMIFS('Raw Data'!G:G,'Raw Data'!C:C,A19,'Raw Data'!B:B,E14)</f>
        <v>434766</v>
      </c>
      <c r="F19" s="39">
        <f>SUM(B19:E19)</f>
        <v>2873086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x14ac:dyDescent="0.3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x14ac:dyDescent="0.3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x14ac:dyDescent="0.3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x14ac:dyDescent="0.3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x14ac:dyDescent="0.3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x14ac:dyDescent="0.3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 x14ac:dyDescent="0.3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x14ac:dyDescent="0.3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x14ac:dyDescent="0.3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x14ac:dyDescent="0.3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x14ac:dyDescent="0.3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 x14ac:dyDescent="0.3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x14ac:dyDescent="0.3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 x14ac:dyDescent="0.3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x14ac:dyDescent="0.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 x14ac:dyDescent="0.3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x14ac:dyDescent="0.3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x14ac:dyDescent="0.3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x14ac:dyDescent="0.3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1:19" x14ac:dyDescent="0.3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x14ac:dyDescent="0.3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</row>
    <row r="42" spans="1:19" x14ac:dyDescent="0.3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x14ac:dyDescent="0.3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1:19" x14ac:dyDescent="0.3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x14ac:dyDescent="0.3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x14ac:dyDescent="0.3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x14ac:dyDescent="0.3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1:19" x14ac:dyDescent="0.3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x14ac:dyDescent="0.3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1:19" x14ac:dyDescent="0.3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x14ac:dyDescent="0.3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1:19" x14ac:dyDescent="0.3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x14ac:dyDescent="0.3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1:19" x14ac:dyDescent="0.3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x14ac:dyDescent="0.3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1:19" x14ac:dyDescent="0.3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x14ac:dyDescent="0.3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1:19" x14ac:dyDescent="0.3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x14ac:dyDescent="0.3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</sheetData>
  <mergeCells count="3">
    <mergeCell ref="A1:M1"/>
    <mergeCell ref="A3:F3"/>
    <mergeCell ref="A13:E13"/>
  </mergeCells>
  <conditionalFormatting sqref="B15:E19">
    <cfRule type="colorScale" priority="2">
      <colorScale>
        <cfvo type="min"/>
        <cfvo type="max"/>
        <color rgb="FFFFF9C4"/>
        <color rgb="FF1B5E2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8BB78"/>
  </sheetPr>
  <dimension ref="A1:B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8" customWidth="1"/>
  </cols>
  <sheetData>
    <row r="1" spans="1:2" ht="21.75" customHeight="1" x14ac:dyDescent="0.35">
      <c r="A1" s="26" t="s">
        <v>43</v>
      </c>
      <c r="B1" s="26" t="s">
        <v>14</v>
      </c>
    </row>
    <row r="2" spans="1:2" ht="21.75" customHeight="1" x14ac:dyDescent="0.35">
      <c r="A2" s="27" t="s">
        <v>44</v>
      </c>
      <c r="B2" s="28">
        <v>1253930</v>
      </c>
    </row>
    <row r="3" spans="1:2" ht="21.75" customHeight="1" x14ac:dyDescent="0.35">
      <c r="A3" s="29" t="s">
        <v>45</v>
      </c>
      <c r="B3" s="30">
        <v>901948</v>
      </c>
    </row>
    <row r="4" spans="1:2" ht="21.75" customHeight="1" x14ac:dyDescent="0.35">
      <c r="A4" s="31" t="s">
        <v>46</v>
      </c>
      <c r="B4" s="28">
        <v>1372699</v>
      </c>
    </row>
    <row r="5" spans="1:2" ht="21.75" customHeight="1" x14ac:dyDescent="0.35">
      <c r="A5" s="32" t="s">
        <v>47</v>
      </c>
      <c r="B5" s="30">
        <v>803163</v>
      </c>
    </row>
    <row r="6" spans="1:2" ht="21.75" customHeight="1" x14ac:dyDescent="0.35">
      <c r="A6" s="41" t="s">
        <v>48</v>
      </c>
      <c r="B6" s="28">
        <v>711639</v>
      </c>
    </row>
    <row r="7" spans="1:2" ht="21.75" customHeight="1" x14ac:dyDescent="0.35">
      <c r="A7" s="42" t="s">
        <v>49</v>
      </c>
      <c r="B7" s="30">
        <v>1065349</v>
      </c>
    </row>
    <row r="8" spans="1:2" ht="21.75" customHeight="1" x14ac:dyDescent="0.35">
      <c r="A8" s="43" t="s">
        <v>50</v>
      </c>
      <c r="B8" s="28">
        <v>1010735</v>
      </c>
    </row>
    <row r="9" spans="1:2" ht="21.75" customHeight="1" x14ac:dyDescent="0.35">
      <c r="A9" s="44" t="s">
        <v>51</v>
      </c>
      <c r="B9" s="30">
        <v>1127494</v>
      </c>
    </row>
    <row r="10" spans="1:2" ht="21.75" customHeight="1" x14ac:dyDescent="0.35">
      <c r="A10" s="45" t="s">
        <v>52</v>
      </c>
      <c r="B10" s="28">
        <v>955645</v>
      </c>
    </row>
    <row r="11" spans="1:2" ht="21.75" customHeight="1" x14ac:dyDescent="0.35">
      <c r="A11" s="46" t="s">
        <v>53</v>
      </c>
      <c r="B11" s="30">
        <v>1222006</v>
      </c>
    </row>
    <row r="12" spans="1:2" ht="21.75" customHeight="1" x14ac:dyDescent="0.35">
      <c r="A12" s="27" t="s">
        <v>54</v>
      </c>
      <c r="B12" s="28">
        <v>715954</v>
      </c>
    </row>
    <row r="13" spans="1:2" ht="21.75" customHeight="1" x14ac:dyDescent="0.35">
      <c r="A13" s="29" t="s">
        <v>55</v>
      </c>
      <c r="B13" s="30">
        <v>1497767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6AD55"/>
  </sheetPr>
  <dimension ref="A1:B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18" customWidth="1"/>
  </cols>
  <sheetData>
    <row r="1" spans="1:2" ht="21.75" customHeight="1" x14ac:dyDescent="0.35">
      <c r="A1" s="26" t="s">
        <v>10</v>
      </c>
      <c r="B1" s="26" t="s">
        <v>14</v>
      </c>
    </row>
    <row r="2" spans="1:2" ht="21.75" customHeight="1" x14ac:dyDescent="0.35">
      <c r="A2" s="27" t="s">
        <v>22</v>
      </c>
      <c r="B2" s="28">
        <v>2956842</v>
      </c>
    </row>
    <row r="3" spans="1:2" ht="21.75" customHeight="1" x14ac:dyDescent="0.35">
      <c r="A3" s="29" t="s">
        <v>19</v>
      </c>
      <c r="B3" s="30">
        <v>2873086</v>
      </c>
    </row>
    <row r="4" spans="1:2" ht="21.75" customHeight="1" x14ac:dyDescent="0.35">
      <c r="A4" s="31" t="s">
        <v>28</v>
      </c>
      <c r="B4" s="28">
        <v>2376933</v>
      </c>
    </row>
    <row r="5" spans="1:2" ht="21.75" customHeight="1" x14ac:dyDescent="0.35">
      <c r="A5" s="32" t="s">
        <v>30</v>
      </c>
      <c r="B5" s="30">
        <v>2343040</v>
      </c>
    </row>
    <row r="6" spans="1:2" ht="21.75" customHeight="1" x14ac:dyDescent="0.35">
      <c r="A6" s="41" t="s">
        <v>27</v>
      </c>
      <c r="B6" s="28">
        <v>2088428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Region Summary</vt:lpstr>
      <vt:lpstr>Analysis</vt:lpstr>
      <vt:lpstr>Monthly Summary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 Khandelwal</cp:lastModifiedBy>
  <cp:revision>2</cp:revision>
  <dcterms:created xsi:type="dcterms:W3CDTF">2025-08-31T09:50:19Z</dcterms:created>
  <dcterms:modified xsi:type="dcterms:W3CDTF">2026-04-09T05:36:12Z</dcterms:modified>
  <dc:language>en-US</dc:language>
</cp:coreProperties>
</file>